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2B0EB40-5ABA-488A-9E20-6827E8D89D72}" xr6:coauthVersionLast="47" xr6:coauthVersionMax="47" xr10:uidLastSave="{00000000-0000-0000-0000-000000000000}"/>
  <bookViews>
    <workbookView xWindow="-110" yWindow="-110" windowWidth="19420" windowHeight="10300" tabRatio="500" firstSheet="6" activeTab="7" xr2:uid="{00000000-000D-0000-FFFF-FFFF00000000}"/>
  </bookViews>
  <sheets>
    <sheet name="📊 Dashboard" sheetId="1" r:id="rId1"/>
    <sheet name="🔍 Buyer Comparison Tool" sheetId="7" r:id="rId2"/>
    <sheet name="🏠 BHK Analysis" sheetId="6" r:id="rId3"/>
    <sheet name="📍 Locality Analysis" sheetId="5" r:id="rId4"/>
    <sheet name="🔧 Cleaning Log" sheetId="4" r:id="rId5"/>
    <sheet name="📋 Raw Data" sheetId="2" r:id="rId6"/>
    <sheet name="✅ Cleaned Data" sheetId="3" r:id="rId7"/>
    <sheet name="Methodology" sheetId="8" r:id="rId8"/>
  </sheets>
  <externalReferences>
    <externalReference r:id="rId9"/>
  </externalReferences>
  <definedNames>
    <definedName name="_xlnm._FilterDatabase" localSheetId="1" hidden="1">'🔍 Buyer Comparison Tool'!$A$5:$H$395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" i="3" l="1"/>
  <c r="H6" i="1"/>
  <c r="E6" i="1"/>
  <c r="D6" i="1"/>
  <c r="G6" i="1"/>
  <c r="B6" i="1"/>
  <c r="C6" i="1"/>
  <c r="A6" i="1"/>
  <c r="E5" i="6"/>
  <c r="E6" i="6"/>
  <c r="E7" i="6"/>
  <c r="E8" i="6"/>
  <c r="E4" i="6"/>
  <c r="F6" i="1"/>
  <c r="F5" i="6"/>
  <c r="F6" i="6"/>
  <c r="F7" i="6"/>
  <c r="F8" i="6"/>
  <c r="F4" i="6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</calcChain>
</file>

<file path=xl/sharedStrings.xml><?xml version="1.0" encoding="utf-8"?>
<sst xmlns="http://schemas.openxmlformats.org/spreadsheetml/2006/main" count="4590" uniqueCount="1175">
  <si>
    <t>🏙️ BENGALURU PROPERTY MARKET INTELLIGENCE DASHBOARD</t>
  </si>
  <si>
    <t>Data Source: 99acres.com  |  City: Bengaluru  |  Records: 389 Listings  |  Built with: Excel Advanced + Power Query</t>
  </si>
  <si>
    <t>Total Listings</t>
  </si>
  <si>
    <t>Avg Price</t>
  </si>
  <si>
    <t>Avg Area</t>
  </si>
  <si>
    <t>Avg Price/sqft</t>
  </si>
  <si>
    <t>Most Listed BHK</t>
  </si>
  <si>
    <t>Top Locality</t>
  </si>
  <si>
    <t>Price Range</t>
  </si>
  <si>
    <t>Localities Covered</t>
  </si>
  <si>
    <t>3 BHK</t>
  </si>
  <si>
    <t>Whitefield</t>
  </si>
  <si>
    <t>BHK DISTRIBUTION</t>
  </si>
  <si>
    <t>TOP 5 LOCALITIES BY PRICE/SQFT</t>
  </si>
  <si>
    <t>BHK</t>
  </si>
  <si>
    <t>Listings</t>
  </si>
  <si>
    <t>Avg Price (₹L)</t>
  </si>
  <si>
    <t>Locality</t>
  </si>
  <si>
    <t>Price/sqft (₹)</t>
  </si>
  <si>
    <t>1 BHK</t>
  </si>
  <si>
    <t>Indira Nagar</t>
  </si>
  <si>
    <t>2 BHK</t>
  </si>
  <si>
    <t>Jp Nagar</t>
  </si>
  <si>
    <t>Hebbal</t>
  </si>
  <si>
    <t>4 BHK</t>
  </si>
  <si>
    <t>Basavanapura</t>
  </si>
  <si>
    <t>5 BHK</t>
  </si>
  <si>
    <t>KEY INSIGHTS</t>
  </si>
  <si>
    <t>📌  3 BHK is the most listed configuration (198 listings, 51% of market) — indicating highest demand segment in Bengaluru.</t>
  </si>
  <si>
    <t>📌  Indira Nagar commands the highest avg price/sqft (₹18,430) — a 2× premium vs. affordable localities like Electronic City.</t>
  </si>
  <si>
    <t>📌  5 BHK properties average ₹312L but fewer listings (5) suggest a niche luxury segment with limited supply.</t>
  </si>
  <si>
    <t>📌  Whitefield has the most listings (16) among premium localities, making it the most competitive mid-premium market.</t>
  </si>
  <si>
    <t>📌  Price range spans ₹30L to ₹775L — wide spread signals strong market segmentation from affordable to ultra-luxury.</t>
  </si>
  <si>
    <t>RAW DATA — Original Uncleaned Dataset (99acres Bengaluru)</t>
  </si>
  <si>
    <t>NAME</t>
  </si>
  <si>
    <t>LOCATION</t>
  </si>
  <si>
    <t>PRICE</t>
  </si>
  <si>
    <t>AREA</t>
  </si>
  <si>
    <t>Sobha Royal Pavilion
4.2</t>
  </si>
  <si>
    <t>3 BHK Flat in Sarjapur Road, Bangalore</t>
  </si>
  <si>
    <t>₹2.4 Cr</t>
  </si>
  <si>
    <t>1,507 sqft</t>
  </si>
  <si>
    <t>3 BHK Flat in Carmelaram, Sarjapur Road</t>
  </si>
  <si>
    <t>₹2.88 Cr</t>
  </si>
  <si>
    <t>1,800 sqft</t>
  </si>
  <si>
    <t>Sobha Windsor
4.3</t>
  </si>
  <si>
    <t>3 BHK Flat in Whitefield, Bangalore</t>
  </si>
  <si>
    <t>₹2.1 Cr</t>
  </si>
  <si>
    <t>1,550 sqft</t>
  </si>
  <si>
    <t>Vajarahalli, Bangalore, Bangalore South</t>
  </si>
  <si>
    <t>4 Bedroom House in Vajarahalli, Bangalore</t>
  </si>
  <si>
    <t>₹4.45 Cr</t>
  </si>
  <si>
    <t>1,500 sqft</t>
  </si>
  <si>
    <t>4 BHK Flat in Sarjapur Road, Bangalore</t>
  </si>
  <si>
    <t>₹3.8 Cr</t>
  </si>
  <si>
    <t>2,232 sqft</t>
  </si>
  <si>
    <t>Unicca Emporis</t>
  </si>
  <si>
    <t>3 BHK Flat in Varthur, Bangalore</t>
  </si>
  <si>
    <t>₹2.2 Cr</t>
  </si>
  <si>
    <t>2,184 sqft</t>
  </si>
  <si>
    <t>Prestige Park Square
3.9</t>
  </si>
  <si>
    <t>3 BHK Flat in Basavanapura, Bannerghatta Road</t>
  </si>
  <si>
    <t>₹2.3 Cr</t>
  </si>
  <si>
    <t>1,771 sqft</t>
  </si>
  <si>
    <t>Shriram Smrithi</t>
  </si>
  <si>
    <t>3 BHK Flat in Sarjapura Attibele Road, Bangalore</t>
  </si>
  <si>
    <t>₹83 Lac</t>
  </si>
  <si>
    <t>1,525 sqft</t>
  </si>
  <si>
    <t>4 BHK Flat in Whitefield, Bangalore</t>
  </si>
  <si>
    <t>₹3.5 Cr</t>
  </si>
  <si>
    <t>2,200 sqft</t>
  </si>
  <si>
    <t>₹3.7 Cr</t>
  </si>
  <si>
    <t>Jain Heights East Parade
3.8</t>
  </si>
  <si>
    <t>4 BHK Flat in C V Raman Nagar, Kaggadasapura, Bangalore</t>
  </si>
  <si>
    <t>3,504 sqft</t>
  </si>
  <si>
    <t>Galaxy Sri nandana Galaxy</t>
  </si>
  <si>
    <t>₹1.02 Cr</t>
  </si>
  <si>
    <t>1,405 sqft</t>
  </si>
  <si>
    <t>GALAXY SRI NANDANA GALAXY</t>
  </si>
  <si>
    <t>₹1.08 Cr</t>
  </si>
  <si>
    <t>1,485 sqft</t>
  </si>
  <si>
    <t>Mahaveer Maple</t>
  </si>
  <si>
    <t>2 BHK Flat in Brookefield, Bangalore</t>
  </si>
  <si>
    <t>₹1.22 Cr</t>
  </si>
  <si>
    <t>1,168 sqft</t>
  </si>
  <si>
    <t>Shriram Summit</t>
  </si>
  <si>
    <t>2 BHK Flat in Electronics City Phase 1, Bangalore</t>
  </si>
  <si>
    <t>₹1.27 Cr</t>
  </si>
  <si>
    <t>1,175 sqft</t>
  </si>
  <si>
    <t>Vajram Essenza</t>
  </si>
  <si>
    <t>2 BHK Flat in Chokkanahalli, Near Thanisandra, Bangalore</t>
  </si>
  <si>
    <t>₹1.12 Cr</t>
  </si>
  <si>
    <t>1,271 sqft</t>
  </si>
  <si>
    <t>Sri Nandana Galaxy</t>
  </si>
  <si>
    <t>3 BHK Flat in Chambenahalli, Sarjapur Road</t>
  </si>
  <si>
    <t>₹93 Lac</t>
  </si>
  <si>
    <t>1,350 sqft</t>
  </si>
  <si>
    <t>₹1.07 Cr</t>
  </si>
  <si>
    <t>Prestige City Avalon Park</t>
  </si>
  <si>
    <t>1,657 sqft</t>
  </si>
  <si>
    <t>Concorde Auriga</t>
  </si>
  <si>
    <t>3 BHK Flat in KR Puram, Bangalore</t>
  </si>
  <si>
    <t>₹2.15 Cr</t>
  </si>
  <si>
    <t>1,744 sqft</t>
  </si>
  <si>
    <t>2 BHK Flat in Sarjapur Road, Bangalore</t>
  </si>
  <si>
    <t>₹75 Lac</t>
  </si>
  <si>
    <t>1,005 sqft</t>
  </si>
  <si>
    <t>1,758 sqft</t>
  </si>
  <si>
    <t>Bhartiya The Leela Residences
3.7</t>
  </si>
  <si>
    <t>₹3.6 Cr</t>
  </si>
  <si>
    <t>2 BHK Flat in Sarjapura Attibele Road, Bangalore</t>
  </si>
  <si>
    <t>₹66 Lac</t>
  </si>
  <si>
    <t>1,196 sqft</t>
  </si>
  <si>
    <t>Sattva East Crest
3.6</t>
  </si>
  <si>
    <t>2 BHK Flat in Bandapura, Old Madras Road</t>
  </si>
  <si>
    <t>₹1.19 Cr</t>
  </si>
  <si>
    <t>1,171 sqft</t>
  </si>
  <si>
    <t>Ramky One North
4.3</t>
  </si>
  <si>
    <t>3 BHK Flat in Avalahalli, Bangalore</t>
  </si>
  <si>
    <t>₹77 Lac</t>
  </si>
  <si>
    <t>1,101 sqft</t>
  </si>
  <si>
    <t>2 BHK Flat in Avalahalli, Bangalore</t>
  </si>
  <si>
    <t>₹67 Lac</t>
  </si>
  <si>
    <t>880 sqft</t>
  </si>
  <si>
    <t>Shriram Luxor
3.5</t>
  </si>
  <si>
    <t>2 BHK Flat in Kannur, Thanisandra Main Road</t>
  </si>
  <si>
    <t>₹1.2 Cr</t>
  </si>
  <si>
    <t>1,195 sqft</t>
  </si>
  <si>
    <t>Sobha Habitech
3.7</t>
  </si>
  <si>
    <t>3 BHK Flat in Ambedkar Nagar, Whitefield</t>
  </si>
  <si>
    <t>₹2.55 Cr</t>
  </si>
  <si>
    <t>1,852 sqft</t>
  </si>
  <si>
    <t>Shriram Chirping Grove</t>
  </si>
  <si>
    <t>4 Bedroom House in Sarjapur, Bangalore</t>
  </si>
  <si>
    <t>1,900 sqft</t>
  </si>
  <si>
    <t>ISRO Layout, Bangalore, Bangalore South</t>
  </si>
  <si>
    <t>3 BHK Independent Builder Floor in ISRO Layout, Bangalore</t>
  </si>
  <si>
    <t>₹1.88 Cr</t>
  </si>
  <si>
    <t>Trifecta Joli</t>
  </si>
  <si>
    <t>₹1.1 Cr</t>
  </si>
  <si>
    <t>1,450 sqft</t>
  </si>
  <si>
    <t>Heritage</t>
  </si>
  <si>
    <t>2 BHK Flat in Electronic City, Bangalore</t>
  </si>
  <si>
    <t>₹54 Lac</t>
  </si>
  <si>
    <t>1,053 sqft</t>
  </si>
  <si>
    <t>₹2.5 Cr</t>
  </si>
  <si>
    <t>2 BHK Flat in KR Puram, Bangalore</t>
  </si>
  <si>
    <t>₹1.3 Cr</t>
  </si>
  <si>
    <t>1,135 sqft</t>
  </si>
  <si>
    <t>Raggi Gudda Temple</t>
  </si>
  <si>
    <t>3 BHK Independent Builder Floor in 2nd Phase JP Nagar, Bangalore</t>
  </si>
  <si>
    <t>₹3.3 Cr</t>
  </si>
  <si>
    <t>₹1.25 Cr</t>
  </si>
  <si>
    <t>1,182 sqft</t>
  </si>
  <si>
    <t>Prestige Finsbury Park
4.1</t>
  </si>
  <si>
    <t>3 BHK Flat in Bagalur, Bangalore</t>
  </si>
  <si>
    <t>1,277 sqft</t>
  </si>
  <si>
    <t>Ahad Serenity</t>
  </si>
  <si>
    <t>1,229 sqft</t>
  </si>
  <si>
    <t>President Leon</t>
  </si>
  <si>
    <t>3 BHK Flat in Yelahanka, Bangalore</t>
  </si>
  <si>
    <t>₹92 Lac</t>
  </si>
  <si>
    <t>1,365 sqft</t>
  </si>
  <si>
    <t>Emerald</t>
  </si>
  <si>
    <t>₹55 Lac</t>
  </si>
  <si>
    <t>1,134 sqft</t>
  </si>
  <si>
    <t>ROYAL SRI SAI NANDANAROYAL</t>
  </si>
  <si>
    <t>2 BHK Flat in Koppa, Bommasandra</t>
  </si>
  <si>
    <t>₹53.5 Lac</t>
  </si>
  <si>
    <t>1,185 sqft</t>
  </si>
  <si>
    <t>Amigo Estella</t>
  </si>
  <si>
    <t>3 BHK Flat in RK Hegde Nagar, Thanisandra Main Road</t>
  </si>
  <si>
    <t>₹1.43 Cr</t>
  </si>
  <si>
    <t>1,778 sqft</t>
  </si>
  <si>
    <t>Brigade Parkside North
3.7</t>
  </si>
  <si>
    <t>2 BHK Flat in Jalahalli, BEL Road, Bangalore</t>
  </si>
  <si>
    <t>₹1.15 Cr</t>
  </si>
  <si>
    <t>1,125 sqft</t>
  </si>
  <si>
    <t>Purva Westend</t>
  </si>
  <si>
    <t>3 BHK Flat in Garebhavipalya, Hosur Road</t>
  </si>
  <si>
    <t>1,508 sqft</t>
  </si>
  <si>
    <t>Sattva Misty Charm
4.0</t>
  </si>
  <si>
    <t>2 BHK Flat in Kanakapura Road, Bangalore</t>
  </si>
  <si>
    <t>₹95 Lac</t>
  </si>
  <si>
    <t>960 sqft</t>
  </si>
  <si>
    <t>4 BHK Flat in Basavanapura, Bannerghatta Road</t>
  </si>
  <si>
    <t>₹2.78 Cr</t>
  </si>
  <si>
    <t>JP Nagar, Bangalore, Bangalore South</t>
  </si>
  <si>
    <t>5 Bedroom House in JP Nagar, Bangalore</t>
  </si>
  <si>
    <t>₹3.45 Cr</t>
  </si>
  <si>
    <t>1,200 sqft</t>
  </si>
  <si>
    <t>2 BHK Flat in Chambenahalli, Sarjapur Road</t>
  </si>
  <si>
    <t>₹72 Lac</t>
  </si>
  <si>
    <t>1,040 sqft</t>
  </si>
  <si>
    <t>₹1.32 Cr</t>
  </si>
  <si>
    <t>Prestige Primrose Hills</t>
  </si>
  <si>
    <t>2 BHK Flat in Uttarahalli Manavarthekaval, Kanakapura Road</t>
  </si>
  <si>
    <t>720 sqft</t>
  </si>
  <si>
    <t>Sattva Divinity
4.1</t>
  </si>
  <si>
    <t>3 BHK Flat in Mysore Road, Bangalore</t>
  </si>
  <si>
    <t>₹3 Cr</t>
  </si>
  <si>
    <t>1,864 sqft</t>
  </si>
  <si>
    <t>Bren Zahara
3.8</t>
  </si>
  <si>
    <t>1,784 sqft</t>
  </si>
  <si>
    <t>₹1.35 Cr</t>
  </si>
  <si>
    <t>1,305 sqft</t>
  </si>
  <si>
    <t>RJ enclave apartment</t>
  </si>
  <si>
    <t>2 BHK Flat in Junnasandra, Bangalore</t>
  </si>
  <si>
    <t>Emmay Environs Pride</t>
  </si>
  <si>
    <t>2 BHK Flat in Whitefield, Bangalore</t>
  </si>
  <si>
    <t>1,075 sqft</t>
  </si>
  <si>
    <t>Elegant Davis</t>
  </si>
  <si>
    <t>3 BHK Flat in Pulikeshi Nagar, Bangalore</t>
  </si>
  <si>
    <t>Sobha Dream Gardens
3.7</t>
  </si>
  <si>
    <t>2 BHK Flat in Thanisandra, Bangalore</t>
  </si>
  <si>
    <t>1,052 sqft</t>
  </si>
  <si>
    <t>Bhartiya City Nikoo Homes 1</t>
  </si>
  <si>
    <t>₹1.26 Cr</t>
  </si>
  <si>
    <t>1,113 sqft</t>
  </si>
  <si>
    <t>Sekhar Olympus</t>
  </si>
  <si>
    <t>3 BHK Flat in Horamavu, Bangalore</t>
  </si>
  <si>
    <t>₹1.45 Cr</t>
  </si>
  <si>
    <t>1,459 sqft</t>
  </si>
  <si>
    <t>₹3.2 Cr</t>
  </si>
  <si>
    <t>1,804 sqft</t>
  </si>
  <si>
    <t>Sree Adithya Lotus Park</t>
  </si>
  <si>
    <t>2 BHK Flat in Kodigehalli, KR Puram</t>
  </si>
  <si>
    <t>₹86.71 Lac</t>
  </si>
  <si>
    <t>Green view</t>
  </si>
  <si>
    <t>₹49 Lac</t>
  </si>
  <si>
    <t>918 sqft</t>
  </si>
  <si>
    <t>Sobha Silicon Oasis
4.0</t>
  </si>
  <si>
    <t>2 BHK Flat in Beratena Agrahara, Near Hosa Road, Bangalore</t>
  </si>
  <si>
    <t>₹1.64 Cr</t>
  </si>
  <si>
    <t>1,370 sqft</t>
  </si>
  <si>
    <t>₹4.9 Cr</t>
  </si>
  <si>
    <t>Vaishnavi Splendour</t>
  </si>
  <si>
    <t>3 BHK Flat in Ashwathnagar, Bangalore North</t>
  </si>
  <si>
    <t>2,204 sqft</t>
  </si>
  <si>
    <t>Saroj Harmony</t>
  </si>
  <si>
    <t>₹1.61 Cr</t>
  </si>
  <si>
    <t>1,725 sqft</t>
  </si>
  <si>
    <t>Marvel Sequoia</t>
  </si>
  <si>
    <t>2 BHK Flat in VSR Layout, Mahadevapura</t>
  </si>
  <si>
    <t>1,295 sqft</t>
  </si>
  <si>
    <t>Sobha Dream Acres
4.2</t>
  </si>
  <si>
    <t>2 BHK Flat in Balagere, Near Panathur, Bangalore</t>
  </si>
  <si>
    <t>1,012 sqft</t>
  </si>
  <si>
    <t>1,098 sqft</t>
  </si>
  <si>
    <t>₹1.72 Cr</t>
  </si>
  <si>
    <t>1,562 sqft</t>
  </si>
  <si>
    <t>₹1.38 Cr</t>
  </si>
  <si>
    <t>1,224 sqft</t>
  </si>
  <si>
    <t>Aishwarya Amaze</t>
  </si>
  <si>
    <t>2 BHK Flat in Seenappa Layout, Bommanahalli</t>
  </si>
  <si>
    <t>₹65 Lac</t>
  </si>
  <si>
    <t>950 sqft</t>
  </si>
  <si>
    <t>SAI SHAMA</t>
  </si>
  <si>
    <t>3 BHK Flat in Banashankari, Bangalore</t>
  </si>
  <si>
    <t>₹2.65 Cr</t>
  </si>
  <si>
    <t>2,399 sqft</t>
  </si>
  <si>
    <t>Shriram Sameeksha
4.0</t>
  </si>
  <si>
    <t>3 BHK Flat in Kuvempu Nagar, Bangalore North</t>
  </si>
  <si>
    <t>₹1.05 Cr</t>
  </si>
  <si>
    <t>Prestige Shantiniketan
4.5</t>
  </si>
  <si>
    <t>₹4.07 Cr</t>
  </si>
  <si>
    <t>2,292 sqft</t>
  </si>
  <si>
    <t>AB daffodils</t>
  </si>
  <si>
    <t>3 BHK Flat in Phase 1 Kammasandra, Electronic City</t>
  </si>
  <si>
    <t>₹58 Lac</t>
  </si>
  <si>
    <t>1,255 sqft</t>
  </si>
  <si>
    <t>Elegance</t>
  </si>
  <si>
    <t>₹49.81 Lac</t>
  </si>
  <si>
    <t>945 sqft</t>
  </si>
  <si>
    <t>Sri Sai Nandana Royal
3.9</t>
  </si>
  <si>
    <t>on request</t>
  </si>
  <si>
    <t>3 BHK Flat in Richmond Town, Bangalore</t>
  </si>
  <si>
    <t>₹4.5 Cr</t>
  </si>
  <si>
    <t>₹1 Cr</t>
  </si>
  <si>
    <t>1,300 sqft</t>
  </si>
  <si>
    <t>srs sunrise</t>
  </si>
  <si>
    <t>3 BHK Flat in Parappana Agrahara, Hosa Road</t>
  </si>
  <si>
    <t>₹1.06 Cr</t>
  </si>
  <si>
    <t>1,456 sqft</t>
  </si>
  <si>
    <t>Pariwar Passion</t>
  </si>
  <si>
    <t>3 BHK Flat in Doddakammanahalli, Bannerghatta Road</t>
  </si>
  <si>
    <t>₹99 Lac</t>
  </si>
  <si>
    <t>Brigade Omega
3.9</t>
  </si>
  <si>
    <t>3 BHK Flat in Banashankari Stage 6, Bangalore</t>
  </si>
  <si>
    <t>1,710 sqft</t>
  </si>
  <si>
    <t>988 sqft</t>
  </si>
  <si>
    <t>₹1.09 Cr</t>
  </si>
  <si>
    <t>1,258 sqft</t>
  </si>
  <si>
    <t>3 BHK Flat in Giri Nagar, Banashankari</t>
  </si>
  <si>
    <t>2,401 sqft</t>
  </si>
  <si>
    <t>2 BHK Flat in Bagalur, Bangalore</t>
  </si>
  <si>
    <t>₹76 Lac</t>
  </si>
  <si>
    <t>1,395 sqft</t>
  </si>
  <si>
    <t>Temple Vaivhava Apartment</t>
  </si>
  <si>
    <t>3 BHK Flat in Nyanappana Halli, Hulimavu</t>
  </si>
  <si>
    <t>₹86 Lac</t>
  </si>
  <si>
    <t>1,250 sqft</t>
  </si>
  <si>
    <t>Hiranandani Glen Gate
3.7</t>
  </si>
  <si>
    <t>2 BHK Flat in Hebbal, Bangalore</t>
  </si>
  <si>
    <t>₹1.55 Cr</t>
  </si>
  <si>
    <t>1,240 sqft</t>
  </si>
  <si>
    <t>1 BHK Flat in Kuvempu Nagar, Bangalore North</t>
  </si>
  <si>
    <t>₹56 Lac</t>
  </si>
  <si>
    <t>800 sqft</t>
  </si>
  <si>
    <t>Bhartiya City Nikoo Homes Phase 2
4.4</t>
  </si>
  <si>
    <t>4 BHK Flat in Chokkanahalli, Near Thanisandra, Bangalore</t>
  </si>
  <si>
    <t>₹2.84 Cr</t>
  </si>
  <si>
    <t>S V Nivas</t>
  </si>
  <si>
    <t>2 BHK Flat in DUO Layout, Bommanahalli</t>
  </si>
  <si>
    <t>1,210 sqft</t>
  </si>
  <si>
    <t>MUKUNDA NANDANAM</t>
  </si>
  <si>
    <t>1,560 sqft</t>
  </si>
  <si>
    <t>SAPTHAGIRI SANDALWOODS</t>
  </si>
  <si>
    <t>2 BHK Flat in Kadugodi, Bangalore</t>
  </si>
  <si>
    <t>₹91.43 Lac</t>
  </si>
  <si>
    <t>1,219 sqft</t>
  </si>
  <si>
    <t>₹87 Lac</t>
  </si>
  <si>
    <t>1,160 sqft</t>
  </si>
  <si>
    <t>2 BHK Flat in Sompura, Sarjapur Road</t>
  </si>
  <si>
    <t>1,245 sqft</t>
  </si>
  <si>
    <t>3 BHK Flat in Yamare, Sarjapur Road</t>
  </si>
  <si>
    <t>₹98 Lac</t>
  </si>
  <si>
    <t>₹1.01 Cr</t>
  </si>
  <si>
    <t>₹86.55 Lac</t>
  </si>
  <si>
    <t>Galaxy Sri Nandana Galaxy</t>
  </si>
  <si>
    <t>2 BHK Flat in Yamare, Sarjapur Road</t>
  </si>
  <si>
    <t>₹84.5 Lac</t>
  </si>
  <si>
    <t>RJ enclave Apartment</t>
  </si>
  <si>
    <t>Rj Enclave apartment</t>
  </si>
  <si>
    <t>rj enclave apartment</t>
  </si>
  <si>
    <t>1,008 sqft</t>
  </si>
  <si>
    <t>aarna Royal Apartment</t>
  </si>
  <si>
    <t>3 BHK Flat in Ananth Nagar, Electronic City</t>
  </si>
  <si>
    <t>₹60 Lac</t>
  </si>
  <si>
    <t>1,400 sqft</t>
  </si>
  <si>
    <t>Aarna Royal Apartment</t>
  </si>
  <si>
    <t>₹61 Lac</t>
  </si>
  <si>
    <t>1,425 sqft</t>
  </si>
  <si>
    <t>3 BHK Flat in Ananth Nagar Phase 2, Electronic City</t>
  </si>
  <si>
    <t>aarna royal apartment</t>
  </si>
  <si>
    <t>RJ vintage apartment</t>
  </si>
  <si>
    <t>1,423 sqft</t>
  </si>
  <si>
    <t>temple Vaibhav Apartment</t>
  </si>
  <si>
    <t>₹85 Lac</t>
  </si>
  <si>
    <t>SS P</t>
  </si>
  <si>
    <t>₹3.35 Cr</t>
  </si>
  <si>
    <t>Sobha City Santorini</t>
  </si>
  <si>
    <t>3 BHK Flat in Nagareshwara - Nagenahalli, Bangalore</t>
  </si>
  <si>
    <t>1,740 sqft</t>
  </si>
  <si>
    <t>Confident Oxygen</t>
  </si>
  <si>
    <t>₹90 Lac</t>
  </si>
  <si>
    <t>1,087 sqft</t>
  </si>
  <si>
    <t>Cansa Dhiya
3.5</t>
  </si>
  <si>
    <t>2 BHK Flat in Panathur, Bangalore</t>
  </si>
  <si>
    <t>₹78 Lac</t>
  </si>
  <si>
    <t>970 sqft</t>
  </si>
  <si>
    <t>green view</t>
  </si>
  <si>
    <t>3 BHK Flat in Electronic City, Bangalore</t>
  </si>
  <si>
    <t>Pride Pegasus</t>
  </si>
  <si>
    <t>3 BHK Flat in Hennur Gardens, Bangalore</t>
  </si>
  <si>
    <t>₹1.95 Cr</t>
  </si>
  <si>
    <t>1,629 sqft</t>
  </si>
  <si>
    <t>Ajmera Lakeside Paradise</t>
  </si>
  <si>
    <t>2 BHK Flat in Kempanahalli, Near Yelahanka New Town, Bangalore</t>
  </si>
  <si>
    <t>1,100 sqft</t>
  </si>
  <si>
    <t>1 BHK Flat in Kempanahalli, Near Yelahanka New Town, Bangalore</t>
  </si>
  <si>
    <t>666 sqft</t>
  </si>
  <si>
    <t>DS Max Sparkle Nest</t>
  </si>
  <si>
    <t>2 BHK Flat in K.Narayanapura, Thanisandra Main Road</t>
  </si>
  <si>
    <t>1,094 sqft</t>
  </si>
  <si>
    <t>2 BHK Flat in Kuvempu Nagar, Bangalore North</t>
  </si>
  <si>
    <t>1,020 sqft</t>
  </si>
  <si>
    <t>Singsandra HSR</t>
  </si>
  <si>
    <t>2 BHK Flat in Singasandra, Hosur Road</t>
  </si>
  <si>
    <t>1,050 sqft</t>
  </si>
  <si>
    <t>₹83.2 Lac</t>
  </si>
  <si>
    <t>1,154 sqft</t>
  </si>
  <si>
    <t>₹80.78 Lac</t>
  </si>
  <si>
    <t>1,141 sqft</t>
  </si>
  <si>
    <t>sapthagiri sandalwoods</t>
  </si>
  <si>
    <t>₹92.25 Lac</t>
  </si>
  <si>
    <t>1,230 sqft</t>
  </si>
  <si>
    <t>₹94.5 Lac</t>
  </si>
  <si>
    <t>1,260 sqft</t>
  </si>
  <si>
    <t>3 BHK Flat in Kadugodi, Bangalore</t>
  </si>
  <si>
    <t>Assetz Sun and Sanctum</t>
  </si>
  <si>
    <t>3 BHK Flat in Battarahalli, Near KR Puram, Bangalore</t>
  </si>
  <si>
    <t>₹2.25 Cr</t>
  </si>
  <si>
    <t>1,658 sqft</t>
  </si>
  <si>
    <t>₹1.6 Cr</t>
  </si>
  <si>
    <t>1,205 sqft</t>
  </si>
  <si>
    <t>₹84 Lac</t>
  </si>
  <si>
    <t>Temple Vaibhav Apartment</t>
  </si>
  <si>
    <t>3 BHK Flat in Hebbal, Bangalore</t>
  </si>
  <si>
    <t>1,665 sqft</t>
  </si>
  <si>
    <t>Shapoorji Pallonji Parkwest 2</t>
  </si>
  <si>
    <t>3 BHK Flat in Binny Pete, Magadi Road</t>
  </si>
  <si>
    <t>₹2.75 Cr</t>
  </si>
  <si>
    <t>1,939 sqft</t>
  </si>
  <si>
    <t>Serene At Brigade Cornerstone Utopia</t>
  </si>
  <si>
    <t>2 BHK Flat in Varthur, Bangalore</t>
  </si>
  <si>
    <t>₹1.8 Cr</t>
  </si>
  <si>
    <t>1,242 sqft</t>
  </si>
  <si>
    <t>Sai Sadhan</t>
  </si>
  <si>
    <t>1,269 sqft</t>
  </si>
  <si>
    <t>2 BHK Flat in Sarjapur, Bangalore</t>
  </si>
  <si>
    <t>₹89 Lac</t>
  </si>
  <si>
    <t>Prestige Jindal City
4.1</t>
  </si>
  <si>
    <t>1 BHK Flat in Tumkur Road, Bangalore</t>
  </si>
  <si>
    <t>607 sqft</t>
  </si>
  <si>
    <t>Temple vaibhava Apartment</t>
  </si>
  <si>
    <t>Sri Sai Nandana Royal</t>
  </si>
  <si>
    <t>3 BHK Flat in Electronics City Phase 1, Bangalore</t>
  </si>
  <si>
    <t>₹74 Lac</t>
  </si>
  <si>
    <t>1,680 sqft</t>
  </si>
  <si>
    <t>3 BHK Flat in Thanisandra, Bangalore</t>
  </si>
  <si>
    <t>₹1.85 Cr</t>
  </si>
  <si>
    <t>1,948 sqft</t>
  </si>
  <si>
    <t>1,144 sqft</t>
  </si>
  <si>
    <t>₹96 Lac</t>
  </si>
  <si>
    <t>833 sqft</t>
  </si>
  <si>
    <t>₹1.11 Cr</t>
  </si>
  <si>
    <t>1,551 sqft</t>
  </si>
  <si>
    <t>SKANDA</t>
  </si>
  <si>
    <t>₹67.5 Lac</t>
  </si>
  <si>
    <t>1,090 sqft</t>
  </si>
  <si>
    <t>1,575 sqft</t>
  </si>
  <si>
    <t>₹85.68 Lac</t>
  </si>
  <si>
    <t>Ajmera Marina</t>
  </si>
  <si>
    <t>3 BHK Flat in Kempanahalli, Near Yelahanka New Town, Bangalore</t>
  </si>
  <si>
    <t>₹1.4 Cr</t>
  </si>
  <si>
    <t>1,600 sqft</t>
  </si>
  <si>
    <t>H M Dwaraka</t>
  </si>
  <si>
    <t>3 BHK Flat in Rajarajeshwari Nagar, Bangalore</t>
  </si>
  <si>
    <t>2,400 sqft</t>
  </si>
  <si>
    <t>Hennur Road, Bangalore, Bangalore North</t>
  </si>
  <si>
    <t>5 Bedroom House in Hennur Road, Bangalore</t>
  </si>
  <si>
    <t>₹1.03 Cr</t>
  </si>
  <si>
    <t>galaxy Sri Nandana Galaxy</t>
  </si>
  <si>
    <t>₹2.6 Cr</t>
  </si>
  <si>
    <t>₹70.71 Lac</t>
  </si>
  <si>
    <t>1,010 sqft</t>
  </si>
  <si>
    <t>₹70.37 Lac</t>
  </si>
  <si>
    <t>Sumadhura Eden Garden
3.7</t>
  </si>
  <si>
    <t>1 BHK Flat in Whitefield, Bangalore</t>
  </si>
  <si>
    <t>670 sqft</t>
  </si>
  <si>
    <t>Nitesh Hyde Park
3.8</t>
  </si>
  <si>
    <t>1 BHK Flat in Hulimavu, Bangalore</t>
  </si>
  <si>
    <t>₹57 Lac</t>
  </si>
  <si>
    <t>Sriram Sameeksha</t>
  </si>
  <si>
    <t>1,398 sqft</t>
  </si>
  <si>
    <t>Ab daffodils</t>
  </si>
  <si>
    <t>2 BHK Flat in Ananth Nagar Phase 2, Electronic City</t>
  </si>
  <si>
    <t>₹46.9 Lac</t>
  </si>
  <si>
    <t>1,015 sqft</t>
  </si>
  <si>
    <t>2 BHK Flat in Dommasandra, Sarjapur Road</t>
  </si>
  <si>
    <t>₹80.82 Lac</t>
  </si>
  <si>
    <t>MUKUNDA NANDANAM PROJECT</t>
  </si>
  <si>
    <t>₹85.4 Lac</t>
  </si>
  <si>
    <t>1,220 sqft</t>
  </si>
  <si>
    <t>SAPTHAGIRI SANDAL WOODS</t>
  </si>
  <si>
    <t>₹90.3 Lac</t>
  </si>
  <si>
    <t>1,204 sqft</t>
  </si>
  <si>
    <t>₹85.05 Lac</t>
  </si>
  <si>
    <t>1,215 sqft</t>
  </si>
  <si>
    <t>Patel Smondo 2</t>
  </si>
  <si>
    <t>2 BHK Flat in Thirupalya, Bangalore</t>
  </si>
  <si>
    <t>1,025 sqft</t>
  </si>
  <si>
    <t>Sobha HRC Pristine
3.7</t>
  </si>
  <si>
    <t>3 BHK Flat in Jakkur, Bangalore</t>
  </si>
  <si>
    <t>₹3.05 Cr</t>
  </si>
  <si>
    <t>1,819 sqft</t>
  </si>
  <si>
    <t>prestige west woodsMagadi Road</t>
  </si>
  <si>
    <t>2 BHK Flat in Magadi Road, Bangalore</t>
  </si>
  <si>
    <t>₹1.9 Cr</t>
  </si>
  <si>
    <t>1,268 sqft</t>
  </si>
  <si>
    <t>1,806 sqft</t>
  </si>
  <si>
    <t>2 BHK Flat in Hulimavu, Bangalore</t>
  </si>
  <si>
    <t>₹74.9 Lac</t>
  </si>
  <si>
    <t>1,000 sqft</t>
  </si>
  <si>
    <t>₹74.55 Lac</t>
  </si>
  <si>
    <t>969 sqft</t>
  </si>
  <si>
    <t>Godrej United
3.7</t>
  </si>
  <si>
    <t>₹3.75 Cr</t>
  </si>
  <si>
    <t>1,933 sqft</t>
  </si>
  <si>
    <t>Habulus Samruddhi Apartment
3.8</t>
  </si>
  <si>
    <t>2 BHK Flat in Kammasandra, Electronic City</t>
  </si>
  <si>
    <t>₹43.5 Lac</t>
  </si>
  <si>
    <t>1,089 sqft</t>
  </si>
  <si>
    <t>Shriram Greenfield
4.0</t>
  </si>
  <si>
    <t>3 BHK Flat in Bommenahalli, Near Budigere, Bangalore</t>
  </si>
  <si>
    <t>1,225 sqft</t>
  </si>
  <si>
    <t>2 BHK Flat in Neeladri Nagar, Bangalore</t>
  </si>
  <si>
    <t>₹48.5 Lac</t>
  </si>
  <si>
    <t>₹88 Lac</t>
  </si>
  <si>
    <t>₹75.25 Lac</t>
  </si>
  <si>
    <t>2 BHK Flat in Basavanapura, Bannerghatta Road</t>
  </si>
  <si>
    <t>₹1.7 Cr</t>
  </si>
  <si>
    <t>1,130 sqft</t>
  </si>
  <si>
    <t>₹79 Lac</t>
  </si>
  <si>
    <t>3 BHK Flat in Magadi Road, Bangalore</t>
  </si>
  <si>
    <t>1,770 sqft</t>
  </si>
  <si>
    <t>₹75.1 Lac</t>
  </si>
  <si>
    <t>1,207 sqft</t>
  </si>
  <si>
    <t>NR Windgates</t>
  </si>
  <si>
    <t>3 BHK Flat in Chokkanahalli, Near Thanisandra, Bangalore</t>
  </si>
  <si>
    <t>1,549 sqft</t>
  </si>
  <si>
    <t>2 BHK Flat in Binny Pete, Magadi Road</t>
  </si>
  <si>
    <t>₹1.65 Cr</t>
  </si>
  <si>
    <t>1,455 sqft</t>
  </si>
  <si>
    <t>1,483 sqft</t>
  </si>
  <si>
    <t>1,555 sqft</t>
  </si>
  <si>
    <t>Prestige Lakeside Habitat
4.3</t>
  </si>
  <si>
    <t>3 BHK Flat in Gunjur, Near Varthur, Bangalore</t>
  </si>
  <si>
    <t>₹2.31 Cr</t>
  </si>
  <si>
    <t>1,697 sqft</t>
  </si>
  <si>
    <t>Shriram Southern Crest
4.0</t>
  </si>
  <si>
    <t>2 BHK Flat in JP Nagar, Bangalore</t>
  </si>
  <si>
    <t>Sobha Clovelly</t>
  </si>
  <si>
    <t>3 BHK Flat in Kadarenahalli, Banashankari</t>
  </si>
  <si>
    <t>2,350 sqft</t>
  </si>
  <si>
    <t>₹54.68 Lac</t>
  </si>
  <si>
    <t>699 sqft</t>
  </si>
  <si>
    <t>Venu Regency</t>
  </si>
  <si>
    <t>3 BHK Independent Builder Floor in Lottegolla Halli, Bellari Road</t>
  </si>
  <si>
    <t>1,700 sqft</t>
  </si>
  <si>
    <t>2 BHK Independent Builder Floor in Lottegolla Halli, Bellari Road</t>
  </si>
  <si>
    <t>1,410 sqft</t>
  </si>
  <si>
    <t>Nitesh Camp David</t>
  </si>
  <si>
    <t>₹3.1 Cr</t>
  </si>
  <si>
    <t>3,000 sqft</t>
  </si>
  <si>
    <t>VBHC Vaibhava
4.0</t>
  </si>
  <si>
    <t>Studio Apartments / 1 RK Flats in Byagadadhenahalli, Near Chandapura, Bangalore</t>
  </si>
  <si>
    <t>₹23 Lac</t>
  </si>
  <si>
    <t>500 sqft</t>
  </si>
  <si>
    <t>sri sakhthi</t>
  </si>
  <si>
    <t>3 BHK Flat in Kammasandra, Electronic City</t>
  </si>
  <si>
    <t>₹52 Lac</t>
  </si>
  <si>
    <t>1,270 sqft</t>
  </si>
  <si>
    <t>MUKUNDA NANDANM</t>
  </si>
  <si>
    <t>₹84.7 Lac</t>
  </si>
  <si>
    <t>₹2.45 Cr</t>
  </si>
  <si>
    <t>1,810 sqft</t>
  </si>
  <si>
    <t>₹2.7 Cr</t>
  </si>
  <si>
    <t>3 BHK Flat in Bandapura, Old Madras Road</t>
  </si>
  <si>
    <t>1,817 sqft</t>
  </si>
  <si>
    <t>Brigade Cornerstone Utopia
3.8</t>
  </si>
  <si>
    <t>₹1.52 Cr</t>
  </si>
  <si>
    <t>1,097 sqft</t>
  </si>
  <si>
    <t>Vishal Nest</t>
  </si>
  <si>
    <t>2 BHK Flat in Jakkur, Bangalore</t>
  </si>
  <si>
    <t>1,348 sqft</t>
  </si>
  <si>
    <t>₹75.2 Lac</t>
  </si>
  <si>
    <t>1,021 sqft</t>
  </si>
  <si>
    <t>Vaishnavi Terraces
4.0</t>
  </si>
  <si>
    <t>3 BHK Flat in Dollar Scheme Colony, BTM Layout</t>
  </si>
  <si>
    <t>₹4 Cr</t>
  </si>
  <si>
    <t>2,535 sqft</t>
  </si>
  <si>
    <t>Gopalan Atlantis
3.8</t>
  </si>
  <si>
    <t>2 BHK Flat in Dodsworth Layout, Whitefield</t>
  </si>
  <si>
    <t>₹1.36 Cr</t>
  </si>
  <si>
    <t>Provident Sunworth
4.3</t>
  </si>
  <si>
    <t>2 BHK Flat in Mysore Road, Bangalore</t>
  </si>
  <si>
    <t>₹48 Lac</t>
  </si>
  <si>
    <t>883 sqft</t>
  </si>
  <si>
    <t>1,082 sqft</t>
  </si>
  <si>
    <t>₹47.5 Lac</t>
  </si>
  <si>
    <t>₹59 Lac</t>
  </si>
  <si>
    <t>₹57.5 Lac</t>
  </si>
  <si>
    <t>₹57.8 Lac</t>
  </si>
  <si>
    <t>SRK park view</t>
  </si>
  <si>
    <t>3 BHK Flat in AECS Layout - A Block, Hosur Road</t>
  </si>
  <si>
    <t>1,920 sqft</t>
  </si>
  <si>
    <t>Kino at Brigade Orchards</t>
  </si>
  <si>
    <t>2 BHK Flat in Devanahalli, Bangalore</t>
  </si>
  <si>
    <t>1,027 sqft</t>
  </si>
  <si>
    <t>Salarpuria Sattva Cadenza
4.2</t>
  </si>
  <si>
    <t>3 BHK Flat in Kudlu Gate, Bangalore</t>
  </si>
  <si>
    <t>1,564 sqft</t>
  </si>
  <si>
    <t>Sjr Luxuria</t>
  </si>
  <si>
    <t>3 BHK Flat in Araka Mico Layout, Bannerghatta Road</t>
  </si>
  <si>
    <t>2,095 sqft</t>
  </si>
  <si>
    <t>Shobha Garrison</t>
  </si>
  <si>
    <t>3 BHK Flat in Nagasandra, Bangalore</t>
  </si>
  <si>
    <t>₹1.5 Cr</t>
  </si>
  <si>
    <t>3 BHK Flat in Kanakapura Road, Bangalore</t>
  </si>
  <si>
    <t>1,254 sqft</t>
  </si>
  <si>
    <t>prime nest apartment</t>
  </si>
  <si>
    <t>2 BHK Flat in Akshayanagara West, Akshaya Nagar</t>
  </si>
  <si>
    <t>1,060 sqft</t>
  </si>
  <si>
    <t>1,750 sqft</t>
  </si>
  <si>
    <t>Shapoorji Pallonji Parkwest
4.3</t>
  </si>
  <si>
    <t>1 BHK Flat in Binny Pete, Magadi Road</t>
  </si>
  <si>
    <t>665 sqft</t>
  </si>
  <si>
    <t>1,589 sqft</t>
  </si>
  <si>
    <t>Sobha Rajvilas</t>
  </si>
  <si>
    <t>3 BHK Flat in Rajajinagar, Bangalore</t>
  </si>
  <si>
    <t>2,000 sqft</t>
  </si>
  <si>
    <t>₹3.15 Cr</t>
  </si>
  <si>
    <t>2,900 sqft</t>
  </si>
  <si>
    <t>688 sqft</t>
  </si>
  <si>
    <t>₹54.5 Lac</t>
  </si>
  <si>
    <t>₹2.18 Cr</t>
  </si>
  <si>
    <t>1,645 sqft</t>
  </si>
  <si>
    <t>1,347 sqft</t>
  </si>
  <si>
    <t>1,536 sqft</t>
  </si>
  <si>
    <t>L and T Raintree Boulevard
4.1</t>
  </si>
  <si>
    <t>2,041 sqft</t>
  </si>
  <si>
    <t>Hiranandani Glen Classic</t>
  </si>
  <si>
    <t>1 BHK Flat in Hebbal, Bangalore</t>
  </si>
  <si>
    <t>655 sqft</t>
  </si>
  <si>
    <t>₹1.92 Cr</t>
  </si>
  <si>
    <t>Sowparnika Columns
3.8</t>
  </si>
  <si>
    <t>3 BHK Flat in Soukya Road, Whitefield, Bangalore</t>
  </si>
  <si>
    <t>1,428 sqft</t>
  </si>
  <si>
    <t>Galaxy sri Nandana Galaxy</t>
  </si>
  <si>
    <t>₹93.62 Lac</t>
  </si>
  <si>
    <t>Provident Park Square
4.1</t>
  </si>
  <si>
    <t>₹1.39 Cr</t>
  </si>
  <si>
    <t>1,308 sqft</t>
  </si>
  <si>
    <t>3 BHK Flat in Sindhi Colony, Pulikeshi Nagar</t>
  </si>
  <si>
    <t>Juniper at Brigade Orchards
3.4</t>
  </si>
  <si>
    <t>955 sqft</t>
  </si>
  <si>
    <t>Habulus Enclave 2
3.8</t>
  </si>
  <si>
    <t>2,207 sqft</t>
  </si>
  <si>
    <t>Sobha Windsor</t>
  </si>
  <si>
    <t>1,811 sqft</t>
  </si>
  <si>
    <t>Awho Sandeep Vihar</t>
  </si>
  <si>
    <t>1,235 sqft</t>
  </si>
  <si>
    <t>Trifecta Esplanade</t>
  </si>
  <si>
    <t>3 BHK Flat in Kumbena Agrahara, KR Puram</t>
  </si>
  <si>
    <t>₹1.34 Cr</t>
  </si>
  <si>
    <t>1,701 sqft</t>
  </si>
  <si>
    <t>Trillium Apartments</t>
  </si>
  <si>
    <t>3 BHK Flat in Hosa Road, Bangalore</t>
  </si>
  <si>
    <t>₹94 Lac</t>
  </si>
  <si>
    <t>1,330 sqft</t>
  </si>
  <si>
    <t>3 BHK Flat in Neeladri Nagar, Bangalore</t>
  </si>
  <si>
    <t>₹70.98 Lac</t>
  </si>
  <si>
    <t>1,610 sqft</t>
  </si>
  <si>
    <t>2 BHK Flat in Gunjur, Near Varthur, Bangalore</t>
  </si>
  <si>
    <t>₹1.63 Cr</t>
  </si>
  <si>
    <t>₹54.42 Lac</t>
  </si>
  <si>
    <t>2,067 sqft</t>
  </si>
  <si>
    <t>sai serenity</t>
  </si>
  <si>
    <t>₹47.56 Lac</t>
  </si>
  <si>
    <t>1,044 sqft</t>
  </si>
  <si>
    <t>Godrej Avenues
4.1</t>
  </si>
  <si>
    <t>1,390 sqft</t>
  </si>
  <si>
    <t>Nandagokula aparyment</t>
  </si>
  <si>
    <t>3 BHK Flat in Srinivasa Nagar, Banashankari</t>
  </si>
  <si>
    <t>₹1.18 Cr</t>
  </si>
  <si>
    <t>Nandagokulam residency</t>
  </si>
  <si>
    <t>1,201 sqft</t>
  </si>
  <si>
    <t>Narayana Nagar 3rd Block, Kanakapura Road, Bangalore South</t>
  </si>
  <si>
    <t>3 BHK Independent Builder Floor in Narayana Nagar 3rd Block, Kanakapura Road</t>
  </si>
  <si>
    <t>₹1.68 Cr</t>
  </si>
  <si>
    <t>1,004 sqft</t>
  </si>
  <si>
    <t>Shriram Sahaana</t>
  </si>
  <si>
    <t>1,781 sqft</t>
  </si>
  <si>
    <t>Maithri Shilpitha Sunflower
4.0</t>
  </si>
  <si>
    <t>2 BHK Flat in Nallurhalli, Whitefield</t>
  </si>
  <si>
    <t>2 BHK Flat in Tumkur Road, Bangalore</t>
  </si>
  <si>
    <t>1,073 sqft</t>
  </si>
  <si>
    <t>sai Nilayam</t>
  </si>
  <si>
    <t>₹50 Lac</t>
  </si>
  <si>
    <t>1,026 sqft</t>
  </si>
  <si>
    <t>1,311 sqft</t>
  </si>
  <si>
    <t>Padmanabhanagar, Outer Ring Road South, Bangalore South</t>
  </si>
  <si>
    <t>3 BHK Independent Builder Floor in Padmanabhanagar, Outer Ring Road South</t>
  </si>
  <si>
    <t>3 BHK Flat in C K Gardens, Cooke Town</t>
  </si>
  <si>
    <t>1,950 sqft</t>
  </si>
  <si>
    <t>windsor zenith</t>
  </si>
  <si>
    <t>3 BHK Flat in Cox Town, Pulikeshi Nagar</t>
  </si>
  <si>
    <t>1,180 sqft</t>
  </si>
  <si>
    <t>1,431 sqft</t>
  </si>
  <si>
    <t>Radiance Blossom</t>
  </si>
  <si>
    <t>5 Bedroom House in Mandur, Bangalore</t>
  </si>
  <si>
    <t>2,758 sqft</t>
  </si>
  <si>
    <t>3 BHK Flat in Uttarahalli Manavarthekaval, Kanakapura Road</t>
  </si>
  <si>
    <t>1,581 sqft</t>
  </si>
  <si>
    <t>Snow Drops Residency</t>
  </si>
  <si>
    <t>3 BHK Flat in Tumkur Road, Bangalore</t>
  </si>
  <si>
    <t>₹2.13 Cr</t>
  </si>
  <si>
    <t>1,702 sqft</t>
  </si>
  <si>
    <t>Royal Sri Nandana Royal</t>
  </si>
  <si>
    <t>2 BHK Flat in KIADB Industrial Area, Jigani</t>
  </si>
  <si>
    <t>₹57.6 Lac</t>
  </si>
  <si>
    <t>3 BHK Flat in Frazer Town, Bangalore Central</t>
  </si>
  <si>
    <t>₹1.87 Cr</t>
  </si>
  <si>
    <t>Eden Park at The Prestige City</t>
  </si>
  <si>
    <t>997 sqft</t>
  </si>
  <si>
    <t>divine green leaf</t>
  </si>
  <si>
    <t>1,580 sqft</t>
  </si>
  <si>
    <t>₹1.28 Cr</t>
  </si>
  <si>
    <t>1,170 sqft</t>
  </si>
  <si>
    <t>jade residency</t>
  </si>
  <si>
    <t>3 BHK Flat in Kammanahalli, Bangalore</t>
  </si>
  <si>
    <t>₹1.17 Cr</t>
  </si>
  <si>
    <t>3 BHK Flat in Indira Nagar, Bangalore East</t>
  </si>
  <si>
    <t>Mahendra Aarna
4.0</t>
  </si>
  <si>
    <t>₹52.71 Lac</t>
  </si>
  <si>
    <t>₹48.7 Lac</t>
  </si>
  <si>
    <t>900 sqft</t>
  </si>
  <si>
    <t>3 BHK Flat in Cooke Town, Bangalore</t>
  </si>
  <si>
    <t>₹2 Cr</t>
  </si>
  <si>
    <t>1,910 sqft</t>
  </si>
  <si>
    <t>₹97 Lac</t>
  </si>
  <si>
    <t>934 sqft</t>
  </si>
  <si>
    <t>Mantri Greens
4.4</t>
  </si>
  <si>
    <t>3 BHK Flat in Malleshwaram, Bangalore North</t>
  </si>
  <si>
    <t>2,050 sqft</t>
  </si>
  <si>
    <t>₹1.49 Cr</t>
  </si>
  <si>
    <t>Purva Park</t>
  </si>
  <si>
    <t>2 BHK Flat in Jeevanhalli, Pulikeshi Nagar</t>
  </si>
  <si>
    <t>Prestige Waterford
3.9</t>
  </si>
  <si>
    <t>1,775 sqft</t>
  </si>
  <si>
    <t>DS MAX Splendor Nest
3.3</t>
  </si>
  <si>
    <t>₹35 Lac</t>
  </si>
  <si>
    <t>Habulus Harmony
3.5</t>
  </si>
  <si>
    <t>1 BHK Flat in Kammasandra, Electronic City</t>
  </si>
  <si>
    <t>₹31 Lac</t>
  </si>
  <si>
    <t>660 sqft</t>
  </si>
  <si>
    <t>₹46 Lac</t>
  </si>
  <si>
    <t>Alpine Fiesta</t>
  </si>
  <si>
    <t>2 BHK Flat in Hoodi, Bangalore</t>
  </si>
  <si>
    <t>₹47 Lac</t>
  </si>
  <si>
    <t>₹1.59 Cr</t>
  </si>
  <si>
    <t>1,315 sqft</t>
  </si>
  <si>
    <t>1,543 sqft</t>
  </si>
  <si>
    <t>1 BHK Flat in Uttarahalli Manavarthekaval, Kanakapura Road</t>
  </si>
  <si>
    <t>584 sqft</t>
  </si>
  <si>
    <t>sathish</t>
  </si>
  <si>
    <t>3 BHK Flat in Vemanna Layout, BEL Road, Bangalore</t>
  </si>
  <si>
    <t>1,650 sqft</t>
  </si>
  <si>
    <t>Meridian Park at The Prestige City
3.6</t>
  </si>
  <si>
    <t>₹1.75 Cr</t>
  </si>
  <si>
    <t>1,387 sqft</t>
  </si>
  <si>
    <t>GANESH</t>
  </si>
  <si>
    <t>4 Bedroom House in 9th Block Jayanagar, Bangalore</t>
  </si>
  <si>
    <t>₹2.24 Cr</t>
  </si>
  <si>
    <t>700 sqft</t>
  </si>
  <si>
    <t>VR Royal View</t>
  </si>
  <si>
    <t>3 Bedroom House in Hoskote, Bangalore</t>
  </si>
  <si>
    <t>K Raheja Residency
4.2</t>
  </si>
  <si>
    <t>2 BHK Flat in 3rd Block Koramangala, Bangalore</t>
  </si>
  <si>
    <t>2 BHK Flat in Akshayanagara East, Akshaya Nagar</t>
  </si>
  <si>
    <t>Sobha Chrysanthemum</t>
  </si>
  <si>
    <t>1,790 sqft</t>
  </si>
  <si>
    <t>₹74.5 Lac</t>
  </si>
  <si>
    <t>DS Max Stone Hill
3.8</t>
  </si>
  <si>
    <t>3 BHK Flat in JP Nagar, Bangalore</t>
  </si>
  <si>
    <t>₹82 Lac</t>
  </si>
  <si>
    <t>3 BHK Flat in Dodsworth Layout, Whitefield</t>
  </si>
  <si>
    <t>₹1.98 Cr</t>
  </si>
  <si>
    <t>1,745 sqft</t>
  </si>
  <si>
    <t>DLF Westend Heights
4.2</t>
  </si>
  <si>
    <t>3 BHK Flat in Akshaya Nagar, Bangalore</t>
  </si>
  <si>
    <t>1,570 sqft</t>
  </si>
  <si>
    <t>1,325 sqft</t>
  </si>
  <si>
    <t>Century Indus
3.9</t>
  </si>
  <si>
    <t>2 BHK Flat in Kumbena Agrahara, KR Puram</t>
  </si>
  <si>
    <t>1 BHK Flat in Bagalur, Bangalore</t>
  </si>
  <si>
    <t>735 sqft</t>
  </si>
  <si>
    <t>NANDI SERENITY</t>
  </si>
  <si>
    <t>2 BHK Flat in Rajarajeshwari Nagar, Bangalore</t>
  </si>
  <si>
    <t>₹64 Lac</t>
  </si>
  <si>
    <t>Sobha Arena
4.0</t>
  </si>
  <si>
    <t>2 BHK Flat in Talaghattapura, Kanakapura Road</t>
  </si>
  <si>
    <t>1,294 sqft</t>
  </si>
  <si>
    <t>JP NAGAR BANGALORE SOUTH</t>
  </si>
  <si>
    <t>3 Bedroom House in 3rd Phase JP Nagar, Bangalore</t>
  </si>
  <si>
    <t>1 BHK Flat in Sarjapur, Bangalore</t>
  </si>
  <si>
    <t>₹69 Lac</t>
  </si>
  <si>
    <t>442 sqft</t>
  </si>
  <si>
    <t>SNR Verity</t>
  </si>
  <si>
    <t>1,045 sqft</t>
  </si>
  <si>
    <t>1,917 sqft</t>
  </si>
  <si>
    <t>1,595 sqft</t>
  </si>
  <si>
    <t>Salarpuria Serenity</t>
  </si>
  <si>
    <t>3 BHK Flat in Sector 7 HSR Layout, Bangalore</t>
  </si>
  <si>
    <t>1,533 sqft</t>
  </si>
  <si>
    <t>₹80 Lac</t>
  </si>
  <si>
    <t>₹48.9 Lac</t>
  </si>
  <si>
    <t>920 sqft</t>
  </si>
  <si>
    <t>₹59.6 Lac</t>
  </si>
  <si>
    <t>₹56.8 Lac</t>
  </si>
  <si>
    <t>₹47.3 Lac</t>
  </si>
  <si>
    <t>₹58.3 Lac</t>
  </si>
  <si>
    <t>₹56.98 Lac</t>
  </si>
  <si>
    <t>₹57.65 Lac</t>
  </si>
  <si>
    <t>₹47.9 Lac</t>
  </si>
  <si>
    <t>₹48.2 Lac</t>
  </si>
  <si>
    <t>₹3.65 Cr</t>
  </si>
  <si>
    <t>2,027 sqft</t>
  </si>
  <si>
    <t>₹46.8 Lac</t>
  </si>
  <si>
    <t>₹98.1 Lac</t>
  </si>
  <si>
    <t>999 sqft</t>
  </si>
  <si>
    <t>₹4.35 Cr</t>
  </si>
  <si>
    <t>2,555 sqft</t>
  </si>
  <si>
    <t>Vidyapeeta, Banashankari, Bangalore South</t>
  </si>
  <si>
    <t>3 BHK Independent Builder Floor in Vidyapeeta, Banashankari</t>
  </si>
  <si>
    <t>944 sqft</t>
  </si>
  <si>
    <t>Siri Nakshatra</t>
  </si>
  <si>
    <t>2 BHK Flat in KSRTC Layout, Chikkalasandra, Bangalore</t>
  </si>
  <si>
    <t>JADE RESIDENCY</t>
  </si>
  <si>
    <t>₹1.23 Cr</t>
  </si>
  <si>
    <t>Roshini Homes, Babusapalaya</t>
  </si>
  <si>
    <t>3 BHK Flat in Babusapalaya, Hennur Gardens, Bangalore</t>
  </si>
  <si>
    <t>ROSHINI HOMES</t>
  </si>
  <si>
    <t>1,301 sqft</t>
  </si>
  <si>
    <t>roshini homes</t>
  </si>
  <si>
    <t>3 BHK Flat in Hennur Road, Bangalore</t>
  </si>
  <si>
    <t>2 BHK Flat in Hennur Gardens, Bangalore</t>
  </si>
  <si>
    <t>1,001 sqft</t>
  </si>
  <si>
    <t>3 BHK Flat in Horamavu Banaswadi, Bangalore</t>
  </si>
  <si>
    <t>2 BHK Flat in Hennur Road, Bangalore</t>
  </si>
  <si>
    <t>2 BHK Flat in Horamavu Banaswadi, Bangalore</t>
  </si>
  <si>
    <t>SLV Central Park
3.5</t>
  </si>
  <si>
    <t>₹70 Lac</t>
  </si>
  <si>
    <t>NandanaRoyal</t>
  </si>
  <si>
    <t>3 BHK Flat in Maragondanahalli, Bommasandra</t>
  </si>
  <si>
    <t>₹61.95 Lac</t>
  </si>
  <si>
    <t>Navami Landmaark
3.8</t>
  </si>
  <si>
    <t>1,329 sqft</t>
  </si>
  <si>
    <t>Parkside at Brigade Orchards</t>
  </si>
  <si>
    <t>1 BHK Flat in Devanahalli, Bangalore</t>
  </si>
  <si>
    <t>3 BHK Flat in Cambridge Layout, MG Road</t>
  </si>
  <si>
    <t>2 BHK Flat in Frazer Town, Bangalore Central</t>
  </si>
  <si>
    <t>₹1.48 Cr</t>
  </si>
  <si>
    <t>1,058 sqft</t>
  </si>
  <si>
    <t>Sai Vajra</t>
  </si>
  <si>
    <t>3 BHK Flat in Vidyapeeta, Banashankari</t>
  </si>
  <si>
    <t>1 BHK Flat in Kanakapura Road, Bangalore</t>
  </si>
  <si>
    <t>₹53 Lac</t>
  </si>
  <si>
    <t>575 sqft</t>
  </si>
  <si>
    <t>Vaishnavi Serene
3.5</t>
  </si>
  <si>
    <t>1,118 sqft</t>
  </si>
  <si>
    <t>GM Global Techies Town
3.9</t>
  </si>
  <si>
    <t>₹2.28 Cr</t>
  </si>
  <si>
    <t>1,708 sqft</t>
  </si>
  <si>
    <t>974 sqft</t>
  </si>
  <si>
    <t>srr</t>
  </si>
  <si>
    <t>2 BHK Flat in B Narayanapura, Mahadevapura</t>
  </si>
  <si>
    <t>1,108 sqft</t>
  </si>
  <si>
    <t>Doddaballapur, Doddaballapur Road, Bangalore North</t>
  </si>
  <si>
    <t>3 Bedroom House in Doddaballapur, Doddaballapur Road</t>
  </si>
  <si>
    <t>₹1.13 Cr</t>
  </si>
  <si>
    <t>2,100 sqft</t>
  </si>
  <si>
    <t>962 sqft</t>
  </si>
  <si>
    <t>Salarpuria Silver Woods</t>
  </si>
  <si>
    <t>3 BHK Flat in Nagavarapalya, Old Madras Road</t>
  </si>
  <si>
    <t>1,813 sqft</t>
  </si>
  <si>
    <t>Samruddhi</t>
  </si>
  <si>
    <t>3 BHK Flat in Uttarahalli, Bangalore</t>
  </si>
  <si>
    <t>1,320 sqft</t>
  </si>
  <si>
    <t>5 BHK Flat in Thanisandra, Bangalore</t>
  </si>
  <si>
    <t>₹2.8 Cr</t>
  </si>
  <si>
    <t>2,800 sqft</t>
  </si>
  <si>
    <t>CLEANED DATA — Power Query Processed | 389 Records | Bengaluru Property Listings</t>
  </si>
  <si>
    <t>Property Name</t>
  </si>
  <si>
    <t>Type</t>
  </si>
  <si>
    <t>Price (₹ Lakhs)</t>
  </si>
  <si>
    <t>Area (sqft)</t>
  </si>
  <si>
    <t>Rating</t>
  </si>
  <si>
    <t>Sobha Royal Pavilion</t>
  </si>
  <si>
    <t>Sarjapur Road</t>
  </si>
  <si>
    <t>Flat</t>
  </si>
  <si>
    <t>Carmelaram</t>
  </si>
  <si>
    <t>Vajarahalli</t>
  </si>
  <si>
    <t>House</t>
  </si>
  <si>
    <t>Varthur</t>
  </si>
  <si>
    <t>Prestige Park Square</t>
  </si>
  <si>
    <t>Sarjapura Attibele Road</t>
  </si>
  <si>
    <t>Jain Heights East Parade</t>
  </si>
  <si>
    <t>C V Raman Nagar</t>
  </si>
  <si>
    <t>Brookefield</t>
  </si>
  <si>
    <t>Electronics City Phase 1</t>
  </si>
  <si>
    <t>Chokkanahalli</t>
  </si>
  <si>
    <t>Chambenahalli</t>
  </si>
  <si>
    <t>Kr Puram</t>
  </si>
  <si>
    <t>Bhartiya The Leela Residences</t>
  </si>
  <si>
    <t>Sattva East Crest</t>
  </si>
  <si>
    <t>Bandapura</t>
  </si>
  <si>
    <t>Ramky One North</t>
  </si>
  <si>
    <t>Avalahalli</t>
  </si>
  <si>
    <t>Shriram Luxor</t>
  </si>
  <si>
    <t>Kannur</t>
  </si>
  <si>
    <t>Sobha Habitech</t>
  </si>
  <si>
    <t>Ambedkar Nagar</t>
  </si>
  <si>
    <t>Sarjapur</t>
  </si>
  <si>
    <t>Isro Layout, Bangalore, Bangalore South</t>
  </si>
  <si>
    <t>Isro Layout</t>
  </si>
  <si>
    <t>Electronic City</t>
  </si>
  <si>
    <t>2Nd Phase Jp Nagar</t>
  </si>
  <si>
    <t>Prestige Finsbury Park</t>
  </si>
  <si>
    <t>Bagalur</t>
  </si>
  <si>
    <t>Yelahanka</t>
  </si>
  <si>
    <t>Royal Sri Sai Nandanaroyal</t>
  </si>
  <si>
    <t>Koppa</t>
  </si>
  <si>
    <t>Rk Hegde Nagar</t>
  </si>
  <si>
    <t>Brigade Parkside North</t>
  </si>
  <si>
    <t>Jalahalli</t>
  </si>
  <si>
    <t>Garebhavipalya</t>
  </si>
  <si>
    <t>Sattva Misty Charm</t>
  </si>
  <si>
    <t>Kanakapura Road</t>
  </si>
  <si>
    <t>Jp Nagar, Bangalore, Bangalore South</t>
  </si>
  <si>
    <t>Uttarahalli Manavarthekaval</t>
  </si>
  <si>
    <t>Sattva Divinity</t>
  </si>
  <si>
    <t>Mysore Road</t>
  </si>
  <si>
    <t>Bren Zahara</t>
  </si>
  <si>
    <t>Rj Enclave Apartment</t>
  </si>
  <si>
    <t>Junnasandra</t>
  </si>
  <si>
    <t>Pulikeshi Nagar</t>
  </si>
  <si>
    <t>Sobha Dream Gardens</t>
  </si>
  <si>
    <t>Thanisandra</t>
  </si>
  <si>
    <t>Horamavu</t>
  </si>
  <si>
    <t>Kodigehalli</t>
  </si>
  <si>
    <t>Green View</t>
  </si>
  <si>
    <t>Sobha Silicon Oasis</t>
  </si>
  <si>
    <t>Beratena Agrahara</t>
  </si>
  <si>
    <t>Ashwathnagar</t>
  </si>
  <si>
    <t>Vsr Layout</t>
  </si>
  <si>
    <t>Sobha Dream Acres</t>
  </si>
  <si>
    <t>Balagere</t>
  </si>
  <si>
    <t>Seenappa Layout</t>
  </si>
  <si>
    <t>Sai Shama</t>
  </si>
  <si>
    <t>Banashankari</t>
  </si>
  <si>
    <t>Shriram Sameeksha</t>
  </si>
  <si>
    <t>Kuvempu Nagar</t>
  </si>
  <si>
    <t>Prestige Shantiniketan</t>
  </si>
  <si>
    <t>Ab Daffodils</t>
  </si>
  <si>
    <t>Phase 1 Kammasandra</t>
  </si>
  <si>
    <t>On Request</t>
  </si>
  <si>
    <t>Richmond Town</t>
  </si>
  <si>
    <t>Srs Sunrise</t>
  </si>
  <si>
    <t>Parappana Agrahara</t>
  </si>
  <si>
    <t>Doddakammanahalli</t>
  </si>
  <si>
    <t>Brigade Omega</t>
  </si>
  <si>
    <t>Banashankari Stage 6</t>
  </si>
  <si>
    <t>Giri Nagar</t>
  </si>
  <si>
    <t>Nyanappana Halli</t>
  </si>
  <si>
    <t>Hiranandani Glen Gate</t>
  </si>
  <si>
    <t>Bhartiya City Nikoo Homes Phase 2</t>
  </si>
  <si>
    <t>Duo Layout</t>
  </si>
  <si>
    <t>Mukunda Nandanam</t>
  </si>
  <si>
    <t>Sapthagiri Sandalwoods</t>
  </si>
  <si>
    <t>Kadugodi</t>
  </si>
  <si>
    <t>Sompura</t>
  </si>
  <si>
    <t>Yamare</t>
  </si>
  <si>
    <t>Ananth Nagar</t>
  </si>
  <si>
    <t>Ananth Nagar Phase 2</t>
  </si>
  <si>
    <t>Rj Vintage Apartment</t>
  </si>
  <si>
    <t>Ss P</t>
  </si>
  <si>
    <t>Nagareshwara - Nagenahalli</t>
  </si>
  <si>
    <t>Cansa Dhiya</t>
  </si>
  <si>
    <t>Panathur</t>
  </si>
  <si>
    <t>Hennur Gardens</t>
  </si>
  <si>
    <t>Kempanahalli</t>
  </si>
  <si>
    <t>Ds Max Sparkle Nest</t>
  </si>
  <si>
    <t>K.Narayanapura</t>
  </si>
  <si>
    <t>Singsandra Hsr</t>
  </si>
  <si>
    <t>Singasandra</t>
  </si>
  <si>
    <t>Assetz Sun And Sanctum</t>
  </si>
  <si>
    <t>Battarahalli</t>
  </si>
  <si>
    <t>Binny Pete</t>
  </si>
  <si>
    <t>Prestige Jindal City</t>
  </si>
  <si>
    <t>Tumkur Road</t>
  </si>
  <si>
    <t>Temple Vaibhava Apartment</t>
  </si>
  <si>
    <t>Skanda</t>
  </si>
  <si>
    <t>Rajarajeshwari Nagar</t>
  </si>
  <si>
    <t>Hennur Road</t>
  </si>
  <si>
    <t>Sumadhura Eden Garden</t>
  </si>
  <si>
    <t>Nitesh Hyde Park</t>
  </si>
  <si>
    <t>Hulimavu</t>
  </si>
  <si>
    <t>Dommasandra</t>
  </si>
  <si>
    <t>Mukunda Nandanam Project</t>
  </si>
  <si>
    <t>Sapthagiri Sandal Woods</t>
  </si>
  <si>
    <t>Thirupalya</t>
  </si>
  <si>
    <t>Sobha Hrc Pristine</t>
  </si>
  <si>
    <t>Jakkur</t>
  </si>
  <si>
    <t>Prestige West Woodsmagadi Road</t>
  </si>
  <si>
    <t>Magadi Road</t>
  </si>
  <si>
    <t>Godrej United</t>
  </si>
  <si>
    <t>Habulus Samruddhi Apartment</t>
  </si>
  <si>
    <t>Kammasandra</t>
  </si>
  <si>
    <t>Shriram Greenfield</t>
  </si>
  <si>
    <t>Bommenahalli</t>
  </si>
  <si>
    <t>Neeladri Nagar</t>
  </si>
  <si>
    <t>Nr Windgates</t>
  </si>
  <si>
    <t>Prestige Lakeside Habitat</t>
  </si>
  <si>
    <t>Gunjur</t>
  </si>
  <si>
    <t>Shriram Southern Crest</t>
  </si>
  <si>
    <t>Kadarenahalli</t>
  </si>
  <si>
    <t>Lottegolla Halli</t>
  </si>
  <si>
    <t>Vbhc Vaibhava</t>
  </si>
  <si>
    <t>Byagadadhenahalli</t>
  </si>
  <si>
    <t>Sri Sakhthi</t>
  </si>
  <si>
    <t>Mukunda Nandanm</t>
  </si>
  <si>
    <t>Brigade Cornerstone Utopia</t>
  </si>
  <si>
    <t>Vaishnavi Terraces</t>
  </si>
  <si>
    <t>Dollar Scheme Colony</t>
  </si>
  <si>
    <t>Gopalan Atlantis</t>
  </si>
  <si>
    <t>Dodsworth Layout</t>
  </si>
  <si>
    <t>Provident Sunworth</t>
  </si>
  <si>
    <t>Srk Park View</t>
  </si>
  <si>
    <t>Aecs Layout - A Block</t>
  </si>
  <si>
    <t>Kino At Brigade Orchards</t>
  </si>
  <si>
    <t>Devanahalli</t>
  </si>
  <si>
    <t>Salarpuria Sattva Cadenza</t>
  </si>
  <si>
    <t>Kudlu Gate</t>
  </si>
  <si>
    <t>Araka Mico Layout</t>
  </si>
  <si>
    <t>Nagasandra</t>
  </si>
  <si>
    <t>Prime Nest Apartment</t>
  </si>
  <si>
    <t>Akshayanagara West</t>
  </si>
  <si>
    <t>Shapoorji Pallonji Parkwest</t>
  </si>
  <si>
    <t>Rajajinagar</t>
  </si>
  <si>
    <t>L And T Raintree Boulevard</t>
  </si>
  <si>
    <t>Sowparnika Columns</t>
  </si>
  <si>
    <t>Soukya Road</t>
  </si>
  <si>
    <t>Provident Park Square</t>
  </si>
  <si>
    <t>Sindhi Colony</t>
  </si>
  <si>
    <t>Juniper At Brigade Orchards</t>
  </si>
  <si>
    <t>Habulus Enclave 2</t>
  </si>
  <si>
    <t>Kumbena Agrahara</t>
  </si>
  <si>
    <t>Hosa Road</t>
  </si>
  <si>
    <t>Sai Serenity</t>
  </si>
  <si>
    <t>Godrej Avenues</t>
  </si>
  <si>
    <t>Nandagokula Aparyment</t>
  </si>
  <si>
    <t>Srinivasa Nagar</t>
  </si>
  <si>
    <t>Nandagokulam Residency</t>
  </si>
  <si>
    <t>Narayana Nagar 3Rd Block, Kanakapura Road, Bangalore South</t>
  </si>
  <si>
    <t>Narayana Nagar 3Rd Block</t>
  </si>
  <si>
    <t>Maithri Shilpitha Sunflower</t>
  </si>
  <si>
    <t>Nallurhalli</t>
  </si>
  <si>
    <t>Sai Nilayam</t>
  </si>
  <si>
    <t>Padmanabhanagar</t>
  </si>
  <si>
    <t>C K Gardens</t>
  </si>
  <si>
    <t>Windsor Zenith</t>
  </si>
  <si>
    <t>Cox Town</t>
  </si>
  <si>
    <t>Mandur</t>
  </si>
  <si>
    <t>Kiadb Industrial Area</t>
  </si>
  <si>
    <t>Frazer Town</t>
  </si>
  <si>
    <t>Eden Park At The Prestige City</t>
  </si>
  <si>
    <t>Divine Green Leaf</t>
  </si>
  <si>
    <t>Jade Residency</t>
  </si>
  <si>
    <t>Kammanahalli</t>
  </si>
  <si>
    <t>Mahendra Aarna</t>
  </si>
  <si>
    <t>Cooke Town</t>
  </si>
  <si>
    <t>Mantri Greens</t>
  </si>
  <si>
    <t>Malleshwaram</t>
  </si>
  <si>
    <t>Jeevanhalli</t>
  </si>
  <si>
    <t>Prestige Waterford</t>
  </si>
  <si>
    <t>Ds Max Splendor Nest</t>
  </si>
  <si>
    <t>Habulus Harmony</t>
  </si>
  <si>
    <t>Hoodi</t>
  </si>
  <si>
    <t>Sathish</t>
  </si>
  <si>
    <t>Vemanna Layout</t>
  </si>
  <si>
    <t>Meridian Park At The Prestige City</t>
  </si>
  <si>
    <t>Ganesh</t>
  </si>
  <si>
    <t>9Th Block Jayanagar</t>
  </si>
  <si>
    <t>Vr Royal View</t>
  </si>
  <si>
    <t>Hoskote</t>
  </si>
  <si>
    <t>K Raheja Residency</t>
  </si>
  <si>
    <t>3Rd Block Koramangala</t>
  </si>
  <si>
    <t>Akshayanagara East</t>
  </si>
  <si>
    <t>Ds Max Stone Hill</t>
  </si>
  <si>
    <t>Dlf Westend Heights</t>
  </si>
  <si>
    <t>Akshaya Nagar</t>
  </si>
  <si>
    <t>Century Indus</t>
  </si>
  <si>
    <t>Nandi Serenity</t>
  </si>
  <si>
    <t>Sobha Arena</t>
  </si>
  <si>
    <t>Talaghattapura</t>
  </si>
  <si>
    <t>Jp Nagar Bangalore South</t>
  </si>
  <si>
    <t>3Rd Phase Jp Nagar</t>
  </si>
  <si>
    <t>Snr Verity</t>
  </si>
  <si>
    <t>Sector 7 Hsr Layout</t>
  </si>
  <si>
    <t>Vidyapeeta</t>
  </si>
  <si>
    <t>Ksrtc Layout</t>
  </si>
  <si>
    <t>Babusapalaya</t>
  </si>
  <si>
    <t>Roshini Homes</t>
  </si>
  <si>
    <t>Horamavu Banaswadi</t>
  </si>
  <si>
    <t>Slv Central Park</t>
  </si>
  <si>
    <t>Nandanaroyal</t>
  </si>
  <si>
    <t>Maragondanahalli</t>
  </si>
  <si>
    <t>Navami Landmaark</t>
  </si>
  <si>
    <t>Parkside At Brigade Orchards</t>
  </si>
  <si>
    <t>Cambridge Layout</t>
  </si>
  <si>
    <t>Vaishnavi Serene</t>
  </si>
  <si>
    <t>Gm Global Techies Town</t>
  </si>
  <si>
    <t>Srr</t>
  </si>
  <si>
    <t>B Narayanapura</t>
  </si>
  <si>
    <t>Doddaballapur</t>
  </si>
  <si>
    <t>Nagavarapalya</t>
  </si>
  <si>
    <t>Uttarahalli</t>
  </si>
  <si>
    <t>DATA CLEANING LOG — Steps Performed (Power Query + Manual)</t>
  </si>
  <si>
    <t>#</t>
  </si>
  <si>
    <t>Issue Found</t>
  </si>
  <si>
    <t>Action Taken</t>
  </si>
  <si>
    <t>Column(s) Affected</t>
  </si>
  <si>
    <t>Property names had embedded ratings (e.g. 'Sobha Windsor\n4.3')</t>
  </si>
  <si>
    <t>Separated property name and rating into two columns using text extraction</t>
  </si>
  <si>
    <t>name → Property_Name, Rating</t>
  </si>
  <si>
    <t>Location column mixed BHK info + locality + city (e.g. '3 BHK Flat in Whitefield, Bangalore')</t>
  </si>
  <si>
    <t>Extracted clean locality using regex pattern matching</t>
  </si>
  <si>
    <t>location → Locality</t>
  </si>
  <si>
    <t>Property type was embedded in location text (Flat/Villa/House/Plot)</t>
  </si>
  <si>
    <t>Extracted property type via keyword detection</t>
  </si>
  <si>
    <t>location → Property_Type</t>
  </si>
  <si>
    <t>Price stored as text with mixed units (₹2.4 Cr, ₹83 Lac)</t>
  </si>
  <si>
    <t>Converted all prices to numeric in Lakhs (Cr × 100)</t>
  </si>
  <si>
    <t>price → Price_Lakhs</t>
  </si>
  <si>
    <t>Area stored as text with commas and 'sqft' suffix (e.g. '1,507 sqft')</t>
  </si>
  <si>
    <t>Removed commas and unit suffix, converted to numeric float</t>
  </si>
  <si>
    <t>area → Area_sqft</t>
  </si>
  <si>
    <t>BHK stored as text (e.g. '3 BHK')</t>
  </si>
  <si>
    <t>Extracted numeric BHK value using regex</t>
  </si>
  <si>
    <t>bhk → BHK</t>
  </si>
  <si>
    <t>Duplicate listings (same property + locality + price)</t>
  </si>
  <si>
    <t>Removed duplicates — 412 → 389 records retained</t>
  </si>
  <si>
    <t>All columns</t>
  </si>
  <si>
    <t>Inconsistent casing in property/locality names (e.g. 'GALAXY SRI NANDANA GALAXY')</t>
  </si>
  <si>
    <t>Applied Title Case standardization</t>
  </si>
  <si>
    <t>Property_Name, Locality</t>
  </si>
  <si>
    <t>No price-per-sqft metric available for comparison</t>
  </si>
  <si>
    <t>Engineered new column: Price_per_sqft = (Price_Lakhs × 100000) / Area_sqft</t>
  </si>
  <si>
    <t>New column: Price_per_sqft</t>
  </si>
  <si>
    <t>Missing ratings for many properties (no rating scraped)</t>
  </si>
  <si>
    <t>Retained as blank — not filled/imputed to preserve data integrity</t>
  </si>
  <si>
    <t>LOCALITY-WISE ANALYSIS — Bengaluru Property Market Intelligence (Min. 3 Listings)</t>
  </si>
  <si>
    <t>Min Price (₹L)</t>
  </si>
  <si>
    <t>Max Price (₹L)</t>
  </si>
  <si>
    <t>Avg Area (sqft)</t>
  </si>
  <si>
    <t>Avg Price/sqft (₹)</t>
  </si>
  <si>
    <t>TOP 10 LOCALITIES BY AVG PRICE/SQFT</t>
  </si>
  <si>
    <t>BHK-WISE ANALYSIS — Price, Area &amp; Value Comparison Across Configuration Types</t>
  </si>
  <si>
    <t>BHK Config</t>
  </si>
  <si>
    <t>No. of Listings</t>
  </si>
  <si>
    <t>🔍 BUYER COMPARISON TOOL — Find Best Value Localities for Your Budget &amp; BHK</t>
  </si>
  <si>
    <t>ℹ️  Use filters on the table below to explore listings. Sort by Price/sqft to find best-value properties in your preferred locality and BHK.</t>
  </si>
  <si>
    <t>Price (₹L)</t>
  </si>
  <si>
    <t>Rating ⭐</t>
  </si>
  <si>
    <t>Avg Price (₹ Lakhs)</t>
  </si>
  <si>
    <t>Price Efficiency</t>
  </si>
  <si>
    <t>Value Index</t>
  </si>
  <si>
    <t>📌  All prices are represented in Lakhs unless specififed otherwise</t>
  </si>
  <si>
    <t>BENGALURU PROPERTY ANALYSIS — METHODOLOGY</t>
  </si>
  <si>
    <t>1. DATA COLLECTION</t>
  </si>
  <si>
    <t>Dataset sourced from 99acres housing listings (Bengaluru)</t>
  </si>
  <si>
    <t>2. DATA CLEANING (Power Query)</t>
  </si>
  <si>
    <t>Removed inconsistencies in area and pricing formats</t>
  </si>
  <si>
    <t>Extracted BHK from text fields</t>
  </si>
  <si>
    <t>Standardized locality names</t>
  </si>
  <si>
    <t>Converted price values into numeric Lakhs format</t>
  </si>
  <si>
    <t>3. FEATURE ENGINEERING</t>
  </si>
  <si>
    <t>Created Price per Sq Ft metric:</t>
  </si>
  <si>
    <t>(Price in Lakhs × 100000) / Area (sqft)</t>
  </si>
  <si>
    <t>4. DATA ANALYSIS</t>
  </si>
  <si>
    <t>Performed BHK-wise aggregation (price, area, demand)</t>
  </si>
  <si>
    <t>Identified top localities based on price per sqft</t>
  </si>
  <si>
    <t>Calculated distribution of listings across configurations</t>
  </si>
  <si>
    <t>5. DASHBOARD DESIGN</t>
  </si>
  <si>
    <t>Built KPI cards (Avg Price, Avg Area, Price/sqft, Listings)</t>
  </si>
  <si>
    <t>Created comparative tables and charts</t>
  </si>
  <si>
    <t>Designed buyer comparison tool for filtering properties</t>
  </si>
  <si>
    <t>6. TOOLS USED</t>
  </si>
  <si>
    <t>Microsoft Excel</t>
  </si>
  <si>
    <t>Power Query</t>
  </si>
  <si>
    <t>Pivot Tables</t>
  </si>
  <si>
    <t>Data Visualization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</si>
</sst>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"/>
  </numFmts>
  <fonts count="1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9"/>
      <color rgb="FF888888"/>
      <name val="Arial"/>
      <family val="2"/>
    </font>
    <font>
      <sz val="9"/>
      <color rgb="FFFFFFFF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2C3E50"/>
      <name val="Arial"/>
      <family val="2"/>
    </font>
    <font>
      <b/>
      <sz val="13"/>
      <color rgb="FFFFFFFF"/>
      <name val="Arial"/>
      <family val="2"/>
    </font>
    <font>
      <b/>
      <sz val="11"/>
      <color rgb="FF0F3460"/>
      <name val="Arial"/>
      <family val="2"/>
    </font>
    <font>
      <i/>
      <sz val="10"/>
      <color rgb="FF0F3460"/>
      <name val="Arial"/>
      <family val="2"/>
    </font>
    <font>
      <sz val="9"/>
      <color rgb="FF2C3E50"/>
      <name val="Arial"/>
      <family val="2"/>
    </font>
    <font>
      <b/>
      <sz val="11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0F3460"/>
        <bgColor rgb="FF2C3E50"/>
      </patternFill>
    </fill>
    <fill>
      <patternFill patternType="solid">
        <fgColor rgb="FF27AE60"/>
        <bgColor rgb="FF008080"/>
      </patternFill>
    </fill>
    <fill>
      <patternFill patternType="solid">
        <fgColor rgb="FFF5A623"/>
        <bgColor rgb="FFFFCC00"/>
      </patternFill>
    </fill>
    <fill>
      <patternFill patternType="solid">
        <fgColor rgb="FFE94560"/>
        <bgColor rgb="FF993366"/>
      </patternFill>
    </fill>
    <fill>
      <patternFill patternType="solid">
        <fgColor rgb="FF16213E"/>
        <bgColor rgb="FF1A1A2E"/>
      </patternFill>
    </fill>
    <fill>
      <patternFill patternType="solid">
        <fgColor rgb="FFFFFFFF"/>
        <bgColor rgb="FFF9F9F9"/>
      </patternFill>
    </fill>
    <fill>
      <patternFill patternType="solid">
        <fgColor rgb="FFECEFF4"/>
        <bgColor rgb="FFF9F9F9"/>
      </patternFill>
    </fill>
    <fill>
      <patternFill patternType="solid">
        <fgColor theme="6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</borders>
  <cellStyleXfs count="2">
    <xf numFmtId="0" fontId="0" fillId="0" borderId="0"/>
    <xf numFmtId="0" fontId="1" fillId="10" borderId="0" applyNumberFormat="0" applyBorder="0" applyAlignment="0" applyProtection="0"/>
  </cellStyleXfs>
  <cellXfs count="44">
    <xf numFmtId="0" fontId="0" fillId="0" borderId="0" xfId="0"/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0" fillId="0" borderId="0" xfId="0" applyFont="1"/>
    <xf numFmtId="0" fontId="6" fillId="7" borderId="0" xfId="0" applyFont="1" applyFill="1"/>
    <xf numFmtId="0" fontId="12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center" vertical="center" wrapText="1"/>
    </xf>
    <xf numFmtId="1" fontId="8" fillId="8" borderId="1" xfId="0" applyNumberFormat="1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  <xf numFmtId="2" fontId="8" fillId="8" borderId="1" xfId="0" applyNumberFormat="1" applyFont="1" applyFill="1" applyBorder="1" applyAlignment="1">
      <alignment horizontal="center" vertical="center" wrapText="1"/>
    </xf>
    <xf numFmtId="164" fontId="8" fillId="8" borderId="1" xfId="0" applyNumberFormat="1" applyFont="1" applyFill="1" applyBorder="1" applyAlignment="1">
      <alignment horizontal="center" vertical="center" wrapText="1"/>
    </xf>
    <xf numFmtId="165" fontId="5" fillId="6" borderId="0" xfId="0" applyNumberFormat="1" applyFont="1" applyFill="1" applyAlignment="1">
      <alignment horizontal="center" vertical="center" wrapText="1"/>
    </xf>
    <xf numFmtId="2" fontId="5" fillId="5" borderId="0" xfId="0" applyNumberFormat="1" applyFont="1" applyFill="1" applyAlignment="1">
      <alignment horizontal="center" vertical="center" wrapText="1"/>
    </xf>
    <xf numFmtId="164" fontId="5" fillId="4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" fillId="10" borderId="0" xfId="1"/>
    <xf numFmtId="0" fontId="1" fillId="10" borderId="0" xfId="1" applyAlignment="1">
      <alignment horizontal="left" vertical="center" indent="1"/>
    </xf>
  </cellXfs>
  <cellStyles count="2">
    <cellStyle name="60% - Accent3" xfId="1" builtinId="40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78787"/>
      <rgbColor rgb="FF9999FF"/>
      <rgbColor rgb="FF993366"/>
      <rgbColor rgb="FFF9F9F9"/>
      <rgbColor rgb="FFECEF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A623"/>
      <rgbColor rgb="FFE94560"/>
      <rgbColor rgb="FF4F81BD"/>
      <rgbColor rgb="FF888888"/>
      <rgbColor rgb="FF0F3460"/>
      <rgbColor rgb="FF27AE60"/>
      <rgbColor rgb="FF16213E"/>
      <rgbColor rgb="FF1A1A2E"/>
      <rgbColor rgb="FF9933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Price by BHK Configuration (₹ Lakhs)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'🏠 BHK Analysis'!$C$3</c:f>
              <c:strCache>
                <c:ptCount val="1"/>
                <c:pt idx="0">
                  <c:v>Avg Price (₹ Lakhs)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'🏠 BHK Analysis'!$A$4:$A$8</c:f>
              <c:strCache>
                <c:ptCount val="5"/>
                <c:pt idx="0">
                  <c:v>1 BHK</c:v>
                </c:pt>
                <c:pt idx="1">
                  <c:v>2 BHK</c:v>
                </c:pt>
                <c:pt idx="2">
                  <c:v>3 BHK</c:v>
                </c:pt>
                <c:pt idx="3">
                  <c:v>4 BHK</c:v>
                </c:pt>
                <c:pt idx="4">
                  <c:v>5 BHK</c:v>
                </c:pt>
              </c:strCache>
            </c:strRef>
          </c:cat>
          <c:val>
            <c:numRef>
              <c:f>'🏠 BHK Analysis'!$C$4:$C$8</c:f>
              <c:numCache>
                <c:formatCode>General</c:formatCode>
                <c:ptCount val="5"/>
                <c:pt idx="0">
                  <c:v>61.8</c:v>
                </c:pt>
                <c:pt idx="1">
                  <c:v>92.5</c:v>
                </c:pt>
                <c:pt idx="2">
                  <c:v>166.3</c:v>
                </c:pt>
                <c:pt idx="3">
                  <c:v>332.6</c:v>
                </c:pt>
                <c:pt idx="4">
                  <c:v>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84-42DE-BA28-AD8B706EB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450331"/>
        <c:axId val="87562076"/>
      </c:barChart>
      <c:catAx>
        <c:axId val="814503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BHK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562076"/>
        <c:crosses val="autoZero"/>
        <c:auto val="1"/>
        <c:lblAlgn val="ctr"/>
        <c:lblOffset val="100"/>
        <c:noMultiLvlLbl val="0"/>
      </c:catAx>
      <c:valAx>
        <c:axId val="875620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Price (₹ Lakhs)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4503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Price per Sqft by BHK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'🏠 BHK Analysis'!$G$3</c:f>
              <c:strCache>
                <c:ptCount val="1"/>
                <c:pt idx="0">
                  <c:v>Avg Price/sqft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'🏠 BHK Analysis'!$A$4:$A$8</c:f>
              <c:strCache>
                <c:ptCount val="5"/>
                <c:pt idx="0">
                  <c:v>1 BHK</c:v>
                </c:pt>
                <c:pt idx="1">
                  <c:v>2 BHK</c:v>
                </c:pt>
                <c:pt idx="2">
                  <c:v>3 BHK</c:v>
                </c:pt>
                <c:pt idx="3">
                  <c:v>4 BHK</c:v>
                </c:pt>
                <c:pt idx="4">
                  <c:v>5 BHK</c:v>
                </c:pt>
              </c:strCache>
            </c:strRef>
          </c:cat>
          <c:val>
            <c:numRef>
              <c:f>'🏠 BHK Analysis'!$G$4:$G$8</c:f>
              <c:numCache>
                <c:formatCode>General</c:formatCode>
                <c:ptCount val="5"/>
                <c:pt idx="0">
                  <c:v>9324.5</c:v>
                </c:pt>
                <c:pt idx="1">
                  <c:v>8246.5</c:v>
                </c:pt>
                <c:pt idx="2">
                  <c:v>9991</c:v>
                </c:pt>
                <c:pt idx="3">
                  <c:v>17973.599999999999</c:v>
                </c:pt>
                <c:pt idx="4">
                  <c:v>20508.8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9-40D3-B473-4973BFC27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19900"/>
        <c:axId val="22970306"/>
      </c:barChart>
      <c:catAx>
        <c:axId val="198199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970306"/>
        <c:crosses val="autoZero"/>
        <c:auto val="1"/>
        <c:lblAlgn val="ctr"/>
        <c:lblOffset val="100"/>
        <c:noMultiLvlLbl val="0"/>
      </c:catAx>
      <c:valAx>
        <c:axId val="229703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₹ per sqft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8199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Top 10 Localities — Avg Price per Sqft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'📍 Locality Analysis'!$B$50</c:f>
              <c:strCache>
                <c:ptCount val="1"/>
                <c:pt idx="0">
                  <c:v>Avg Price/sqft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'📍 Locality Analysis'!$A$51:$A$60</c:f>
              <c:strCache>
                <c:ptCount val="10"/>
                <c:pt idx="0">
                  <c:v>Indira Nagar</c:v>
                </c:pt>
                <c:pt idx="1">
                  <c:v>Jp Nagar</c:v>
                </c:pt>
                <c:pt idx="2">
                  <c:v>Hebbal</c:v>
                </c:pt>
                <c:pt idx="3">
                  <c:v>Basavanapura</c:v>
                </c:pt>
                <c:pt idx="4">
                  <c:v>Whitefield</c:v>
                </c:pt>
                <c:pt idx="5">
                  <c:v>Varthur</c:v>
                </c:pt>
                <c:pt idx="6">
                  <c:v>Tumkur Road</c:v>
                </c:pt>
                <c:pt idx="7">
                  <c:v>Hennur Road</c:v>
                </c:pt>
                <c:pt idx="8">
                  <c:v>Binny Pete</c:v>
                </c:pt>
                <c:pt idx="9">
                  <c:v>Chokkanahalli</c:v>
                </c:pt>
              </c:strCache>
            </c:strRef>
          </c:cat>
          <c:val>
            <c:numRef>
              <c:f>'📍 Locality Analysis'!$B$51:$B$60</c:f>
              <c:numCache>
                <c:formatCode>General</c:formatCode>
                <c:ptCount val="10"/>
                <c:pt idx="0">
                  <c:v>18430</c:v>
                </c:pt>
                <c:pt idx="1">
                  <c:v>16337</c:v>
                </c:pt>
                <c:pt idx="2">
                  <c:v>14520.7</c:v>
                </c:pt>
                <c:pt idx="3">
                  <c:v>14492.8</c:v>
                </c:pt>
                <c:pt idx="4">
                  <c:v>14408.3</c:v>
                </c:pt>
                <c:pt idx="5">
                  <c:v>12522.7</c:v>
                </c:pt>
                <c:pt idx="6">
                  <c:v>12519</c:v>
                </c:pt>
                <c:pt idx="7">
                  <c:v>12333.3</c:v>
                </c:pt>
                <c:pt idx="8">
                  <c:v>12207</c:v>
                </c:pt>
                <c:pt idx="9">
                  <c:v>11603.3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C-48FB-BAFA-35EA6ECFC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21936"/>
        <c:axId val="29276274"/>
      </c:barChart>
      <c:catAx>
        <c:axId val="662193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₹ per sqft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276274"/>
        <c:crosses val="autoZero"/>
        <c:auto val="1"/>
        <c:lblAlgn val="ctr"/>
        <c:lblOffset val="100"/>
        <c:noMultiLvlLbl val="0"/>
      </c:catAx>
      <c:valAx>
        <c:axId val="2927627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Locality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219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17</xdr:col>
      <xdr:colOff>255960</xdr:colOff>
      <xdr:row>23</xdr:row>
      <xdr:rowOff>141580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19</xdr:row>
      <xdr:rowOff>0</xdr:rowOff>
    </xdr:from>
    <xdr:to>
      <xdr:col>17</xdr:col>
      <xdr:colOff>255960</xdr:colOff>
      <xdr:row>41</xdr:row>
      <xdr:rowOff>128520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46</xdr:row>
      <xdr:rowOff>156240</xdr:rowOff>
    </xdr:from>
    <xdr:to>
      <xdr:col>10</xdr:col>
      <xdr:colOff>572040</xdr:colOff>
      <xdr:row>69</xdr:row>
      <xdr:rowOff>94320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eaned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📊 Dashboard"/>
      <sheetName val="📋 Raw Data"/>
      <sheetName val="✅ Cleaned Data"/>
      <sheetName val="🔧 Cleaning Log"/>
      <sheetName val="📍 Locality Analysis"/>
      <sheetName val="🏠 BHK Analysis"/>
      <sheetName val="🔍 Buyer Comparison Tool"/>
      <sheetName val="📊 J16Dashboard"/>
      <sheetName val="Cleaned Data"/>
      <sheetName val=" Cleaned Data"/>
      <sheetName val=" Dashboard"/>
    </sheetNames>
    <sheetDataSet>
      <sheetData sheetId="0">
        <row r="1">
          <cell r="E1"/>
        </row>
      </sheetData>
      <sheetData sheetId="1"/>
      <sheetData sheetId="2">
        <row r="1">
          <cell r="A1" t="str">
            <v>CLEANED DATA — Power Query Processed | 389 Records | Bengaluru Property Listings</v>
          </cell>
          <cell r="B1"/>
          <cell r="E1"/>
          <cell r="F1"/>
          <cell r="H1"/>
        </row>
        <row r="2">
          <cell r="A2"/>
          <cell r="B2"/>
          <cell r="E2"/>
          <cell r="F2"/>
          <cell r="H2"/>
        </row>
        <row r="3">
          <cell r="A3" t="str">
            <v>Property Name</v>
          </cell>
          <cell r="B3" t="str">
            <v>Locality</v>
          </cell>
          <cell r="E3" t="str">
            <v>Price (₹ Lakhs)</v>
          </cell>
          <cell r="F3" t="str">
            <v>Area (sqft)</v>
          </cell>
          <cell r="H3" t="str">
            <v>Rating</v>
          </cell>
        </row>
        <row r="4">
          <cell r="A4" t="str">
            <v>Sobha Royal Pavilion</v>
          </cell>
          <cell r="B4" t="str">
            <v>Sarjapur Road</v>
          </cell>
          <cell r="E4">
            <v>240</v>
          </cell>
          <cell r="F4">
            <v>1507</v>
          </cell>
          <cell r="H4">
            <v>4.2</v>
          </cell>
        </row>
        <row r="5">
          <cell r="A5" t="str">
            <v>Sobha Royal Pavilion</v>
          </cell>
          <cell r="B5" t="str">
            <v>Carmelaram</v>
          </cell>
          <cell r="E5">
            <v>288</v>
          </cell>
          <cell r="F5">
            <v>1800</v>
          </cell>
          <cell r="H5">
            <v>4.2</v>
          </cell>
        </row>
        <row r="6">
          <cell r="A6" t="str">
            <v>Sobha Windsor</v>
          </cell>
          <cell r="B6" t="str">
            <v>Whitefield</v>
          </cell>
          <cell r="E6">
            <v>210</v>
          </cell>
          <cell r="F6">
            <v>1550</v>
          </cell>
          <cell r="H6">
            <v>4.3</v>
          </cell>
        </row>
        <row r="7">
          <cell r="A7" t="str">
            <v>Vajarahalli, Bangalore, Bangalore South</v>
          </cell>
          <cell r="B7" t="str">
            <v>Vajarahalli</v>
          </cell>
          <cell r="E7">
            <v>445</v>
          </cell>
          <cell r="F7">
            <v>1500</v>
          </cell>
          <cell r="H7"/>
        </row>
        <row r="8">
          <cell r="A8" t="str">
            <v>Sobha Royal Pavilion</v>
          </cell>
          <cell r="B8" t="str">
            <v>Sarjapur Road</v>
          </cell>
          <cell r="E8">
            <v>380</v>
          </cell>
          <cell r="F8">
            <v>2232</v>
          </cell>
          <cell r="H8">
            <v>4.2</v>
          </cell>
        </row>
        <row r="9">
          <cell r="A9" t="str">
            <v>Unicca Emporis</v>
          </cell>
          <cell r="B9" t="str">
            <v>Varthur</v>
          </cell>
          <cell r="E9">
            <v>220</v>
          </cell>
          <cell r="F9">
            <v>2184</v>
          </cell>
          <cell r="H9"/>
        </row>
        <row r="10">
          <cell r="A10" t="str">
            <v>Prestige Park Square</v>
          </cell>
          <cell r="B10" t="str">
            <v>Basavanapura</v>
          </cell>
          <cell r="E10">
            <v>230</v>
          </cell>
          <cell r="F10">
            <v>1771</v>
          </cell>
          <cell r="H10">
            <v>3.9</v>
          </cell>
        </row>
        <row r="11">
          <cell r="A11" t="str">
            <v>Shriram Smrithi</v>
          </cell>
          <cell r="B11" t="str">
            <v>Sarjapura Attibele Road</v>
          </cell>
          <cell r="E11">
            <v>83</v>
          </cell>
          <cell r="F11">
            <v>1525</v>
          </cell>
          <cell r="H11"/>
        </row>
        <row r="12">
          <cell r="A12" t="str">
            <v>Sobha Windsor</v>
          </cell>
          <cell r="B12" t="str">
            <v>Whitefield</v>
          </cell>
          <cell r="E12">
            <v>350</v>
          </cell>
          <cell r="F12">
            <v>2200</v>
          </cell>
          <cell r="H12">
            <v>4.3</v>
          </cell>
        </row>
        <row r="13">
          <cell r="A13" t="str">
            <v>Sobha Windsor</v>
          </cell>
          <cell r="B13" t="str">
            <v>Whitefield</v>
          </cell>
          <cell r="E13">
            <v>370</v>
          </cell>
          <cell r="F13">
            <v>2200</v>
          </cell>
          <cell r="H13">
            <v>4.3</v>
          </cell>
        </row>
        <row r="14">
          <cell r="A14" t="str">
            <v>Jain Heights East Parade</v>
          </cell>
          <cell r="B14" t="str">
            <v>C V Raman Nagar</v>
          </cell>
          <cell r="E14">
            <v>350</v>
          </cell>
          <cell r="F14">
            <v>3504</v>
          </cell>
          <cell r="H14">
            <v>3.8</v>
          </cell>
        </row>
        <row r="15">
          <cell r="A15" t="str">
            <v>Galaxy Sri Nandana Galaxy</v>
          </cell>
          <cell r="B15" t="str">
            <v>Sarjapur Road</v>
          </cell>
          <cell r="E15">
            <v>102</v>
          </cell>
          <cell r="F15">
            <v>1405</v>
          </cell>
          <cell r="H15"/>
        </row>
        <row r="16">
          <cell r="A16" t="str">
            <v>Galaxy Sri Nandana Galaxy</v>
          </cell>
          <cell r="B16" t="str">
            <v>Sarjapur Road</v>
          </cell>
          <cell r="E16">
            <v>108</v>
          </cell>
          <cell r="F16">
            <v>1485</v>
          </cell>
          <cell r="H16"/>
        </row>
        <row r="17">
          <cell r="A17" t="str">
            <v>Mahaveer Maple</v>
          </cell>
          <cell r="B17" t="str">
            <v>Brookefield</v>
          </cell>
          <cell r="E17">
            <v>122</v>
          </cell>
          <cell r="F17">
            <v>1168</v>
          </cell>
          <cell r="H17"/>
        </row>
        <row r="18">
          <cell r="A18" t="str">
            <v>Shriram Summit</v>
          </cell>
          <cell r="B18" t="str">
            <v>Electronics City Phase 1</v>
          </cell>
          <cell r="E18">
            <v>127</v>
          </cell>
          <cell r="F18">
            <v>1175</v>
          </cell>
          <cell r="H18"/>
        </row>
        <row r="19">
          <cell r="A19" t="str">
            <v>Vajram Essenza</v>
          </cell>
          <cell r="B19" t="str">
            <v>Chokkanahalli</v>
          </cell>
          <cell r="E19">
            <v>112</v>
          </cell>
          <cell r="F19">
            <v>1271</v>
          </cell>
          <cell r="H19"/>
        </row>
        <row r="20">
          <cell r="A20" t="str">
            <v>Sri Nandana Galaxy</v>
          </cell>
          <cell r="B20" t="str">
            <v>Chambenahalli</v>
          </cell>
          <cell r="E20">
            <v>93</v>
          </cell>
          <cell r="F20">
            <v>1350</v>
          </cell>
          <cell r="H20"/>
        </row>
        <row r="21">
          <cell r="A21" t="str">
            <v>Sri Nandana Galaxy</v>
          </cell>
          <cell r="B21" t="str">
            <v>Chambenahalli</v>
          </cell>
          <cell r="E21">
            <v>107</v>
          </cell>
          <cell r="F21">
            <v>1485</v>
          </cell>
          <cell r="H21"/>
        </row>
        <row r="22">
          <cell r="A22" t="str">
            <v>Prestige City Avalon Park</v>
          </cell>
          <cell r="B22" t="str">
            <v>Sarjapur Road</v>
          </cell>
          <cell r="E22">
            <v>240</v>
          </cell>
          <cell r="F22">
            <v>1657</v>
          </cell>
          <cell r="H22"/>
        </row>
        <row r="23">
          <cell r="A23" t="str">
            <v>Concorde Auriga</v>
          </cell>
          <cell r="B23" t="str">
            <v>Kr Puram</v>
          </cell>
          <cell r="E23">
            <v>215</v>
          </cell>
          <cell r="F23">
            <v>1744</v>
          </cell>
          <cell r="H23"/>
        </row>
        <row r="24">
          <cell r="A24" t="str">
            <v>Galaxy Sri Nandana Galaxy</v>
          </cell>
          <cell r="B24" t="str">
            <v>Sarjapur Road</v>
          </cell>
          <cell r="E24">
            <v>75</v>
          </cell>
          <cell r="F24">
            <v>1005</v>
          </cell>
          <cell r="H24"/>
        </row>
        <row r="25">
          <cell r="A25" t="str">
            <v>Concorde Auriga</v>
          </cell>
          <cell r="B25" t="str">
            <v>Kr Puram</v>
          </cell>
          <cell r="E25">
            <v>230</v>
          </cell>
          <cell r="F25">
            <v>1758</v>
          </cell>
          <cell r="H25"/>
        </row>
        <row r="26">
          <cell r="A26" t="str">
            <v>Bhartiya The Leela Residences</v>
          </cell>
          <cell r="B26" t="str">
            <v>Chokkanahalli</v>
          </cell>
          <cell r="E26">
            <v>360</v>
          </cell>
          <cell r="F26">
            <v>1800</v>
          </cell>
          <cell r="H26">
            <v>3.7</v>
          </cell>
        </row>
        <row r="27">
          <cell r="A27" t="str">
            <v>Shriram Smrithi</v>
          </cell>
          <cell r="B27" t="str">
            <v>Sarjapura Attibele Road</v>
          </cell>
          <cell r="E27">
            <v>66</v>
          </cell>
          <cell r="F27">
            <v>1196</v>
          </cell>
          <cell r="H27"/>
        </row>
        <row r="28">
          <cell r="A28" t="str">
            <v>Sattva East Crest</v>
          </cell>
          <cell r="B28" t="str">
            <v>Bandapura</v>
          </cell>
          <cell r="E28">
            <v>119</v>
          </cell>
          <cell r="F28">
            <v>1171</v>
          </cell>
          <cell r="H28">
            <v>3.6</v>
          </cell>
        </row>
        <row r="29">
          <cell r="A29" t="str">
            <v>Ramky One North</v>
          </cell>
          <cell r="B29" t="str">
            <v>Avalahalli</v>
          </cell>
          <cell r="E29">
            <v>77</v>
          </cell>
          <cell r="F29">
            <v>1101</v>
          </cell>
          <cell r="H29">
            <v>4.3</v>
          </cell>
        </row>
        <row r="30">
          <cell r="A30" t="str">
            <v>Ramky One North</v>
          </cell>
          <cell r="B30" t="str">
            <v>Avalahalli</v>
          </cell>
          <cell r="E30">
            <v>67</v>
          </cell>
          <cell r="F30">
            <v>880</v>
          </cell>
          <cell r="H30">
            <v>4.3</v>
          </cell>
        </row>
        <row r="31">
          <cell r="A31" t="str">
            <v>Shriram Luxor</v>
          </cell>
          <cell r="B31" t="str">
            <v>Kannur</v>
          </cell>
          <cell r="E31">
            <v>120</v>
          </cell>
          <cell r="F31">
            <v>1195</v>
          </cell>
          <cell r="H31">
            <v>3.5</v>
          </cell>
        </row>
        <row r="32">
          <cell r="A32" t="str">
            <v>Sobha Habitech</v>
          </cell>
          <cell r="B32" t="str">
            <v>Ambedkar Nagar</v>
          </cell>
          <cell r="E32">
            <v>255</v>
          </cell>
          <cell r="F32">
            <v>1852</v>
          </cell>
          <cell r="H32">
            <v>3.7</v>
          </cell>
        </row>
        <row r="33">
          <cell r="A33" t="str">
            <v>Shriram Chirping Grove</v>
          </cell>
          <cell r="B33" t="str">
            <v>Sarjapur</v>
          </cell>
          <cell r="E33">
            <v>240</v>
          </cell>
          <cell r="F33">
            <v>1900</v>
          </cell>
          <cell r="H33"/>
        </row>
        <row r="34">
          <cell r="A34" t="str">
            <v>Isro Layout, Bangalore, Bangalore South</v>
          </cell>
          <cell r="B34" t="str">
            <v>Isro Layout</v>
          </cell>
          <cell r="E34">
            <v>188</v>
          </cell>
          <cell r="F34">
            <v>2200</v>
          </cell>
          <cell r="H34"/>
        </row>
        <row r="35">
          <cell r="A35" t="str">
            <v>Trifecta Joli</v>
          </cell>
          <cell r="B35" t="str">
            <v>Sarjapur Road</v>
          </cell>
          <cell r="E35">
            <v>110</v>
          </cell>
          <cell r="F35">
            <v>1450</v>
          </cell>
          <cell r="H35"/>
        </row>
        <row r="36">
          <cell r="A36" t="str">
            <v>Heritage</v>
          </cell>
          <cell r="B36" t="str">
            <v>Electronic City</v>
          </cell>
          <cell r="E36">
            <v>54</v>
          </cell>
          <cell r="F36">
            <v>1053</v>
          </cell>
          <cell r="H36"/>
        </row>
        <row r="37">
          <cell r="A37" t="str">
            <v>Shriram Chirping Grove</v>
          </cell>
          <cell r="B37" t="str">
            <v>Sarjapur</v>
          </cell>
          <cell r="E37">
            <v>250</v>
          </cell>
          <cell r="F37">
            <v>1900</v>
          </cell>
          <cell r="H37"/>
        </row>
        <row r="38">
          <cell r="A38" t="str">
            <v>Concorde Auriga</v>
          </cell>
          <cell r="B38" t="str">
            <v>Kr Puram</v>
          </cell>
          <cell r="E38">
            <v>130</v>
          </cell>
          <cell r="F38">
            <v>1135</v>
          </cell>
          <cell r="H38"/>
        </row>
        <row r="39">
          <cell r="A39" t="str">
            <v>Raggi Gudda Temple</v>
          </cell>
          <cell r="B39" t="str">
            <v>2Nd Phase Jp Nagar</v>
          </cell>
          <cell r="E39">
            <v>330</v>
          </cell>
          <cell r="F39">
            <v>2200</v>
          </cell>
          <cell r="H39"/>
        </row>
        <row r="40">
          <cell r="A40" t="str">
            <v>Sattva East Crest</v>
          </cell>
          <cell r="B40" t="str">
            <v>Bandapura</v>
          </cell>
          <cell r="E40">
            <v>125</v>
          </cell>
          <cell r="F40">
            <v>1182</v>
          </cell>
          <cell r="H40">
            <v>3.6</v>
          </cell>
        </row>
        <row r="41">
          <cell r="A41" t="str">
            <v>Prestige Finsbury Park</v>
          </cell>
          <cell r="B41" t="str">
            <v>Bagalur</v>
          </cell>
          <cell r="E41">
            <v>130</v>
          </cell>
          <cell r="F41">
            <v>1277</v>
          </cell>
          <cell r="H41">
            <v>4.0999999999999996</v>
          </cell>
        </row>
        <row r="42">
          <cell r="A42" t="str">
            <v>Ahad Serenity</v>
          </cell>
          <cell r="B42" t="str">
            <v>Sarjapur Road</v>
          </cell>
          <cell r="E42">
            <v>119</v>
          </cell>
          <cell r="F42">
            <v>1229</v>
          </cell>
          <cell r="H42"/>
        </row>
        <row r="43">
          <cell r="A43" t="str">
            <v>President Leon</v>
          </cell>
          <cell r="B43" t="str">
            <v>Yelahanka</v>
          </cell>
          <cell r="E43">
            <v>92</v>
          </cell>
          <cell r="F43">
            <v>1365</v>
          </cell>
          <cell r="H43"/>
        </row>
        <row r="44">
          <cell r="A44" t="str">
            <v>Emerald</v>
          </cell>
          <cell r="B44" t="str">
            <v>Electronic City</v>
          </cell>
          <cell r="E44">
            <v>55</v>
          </cell>
          <cell r="F44">
            <v>1134</v>
          </cell>
          <cell r="H44"/>
        </row>
        <row r="45">
          <cell r="A45" t="str">
            <v>Royal Sri Sai Nandanaroyal</v>
          </cell>
          <cell r="B45" t="str">
            <v>Koppa</v>
          </cell>
          <cell r="E45">
            <v>53.5</v>
          </cell>
          <cell r="F45">
            <v>1185</v>
          </cell>
          <cell r="H45"/>
        </row>
        <row r="46">
          <cell r="A46" t="str">
            <v>Amigo Estella</v>
          </cell>
          <cell r="B46" t="str">
            <v>Rk Hegde Nagar</v>
          </cell>
          <cell r="E46">
            <v>143</v>
          </cell>
          <cell r="F46">
            <v>1778</v>
          </cell>
          <cell r="H46"/>
        </row>
        <row r="47">
          <cell r="A47" t="str">
            <v>Brigade Parkside North</v>
          </cell>
          <cell r="B47" t="str">
            <v>Jalahalli</v>
          </cell>
          <cell r="E47">
            <v>115</v>
          </cell>
          <cell r="F47">
            <v>1125</v>
          </cell>
          <cell r="H47">
            <v>3.7</v>
          </cell>
        </row>
        <row r="48">
          <cell r="A48" t="str">
            <v>Purva Westend</v>
          </cell>
          <cell r="B48" t="str">
            <v>Garebhavipalya</v>
          </cell>
          <cell r="E48">
            <v>230</v>
          </cell>
          <cell r="F48">
            <v>1508</v>
          </cell>
          <cell r="H48"/>
        </row>
        <row r="49">
          <cell r="A49" t="str">
            <v>Sattva Misty Charm</v>
          </cell>
          <cell r="B49" t="str">
            <v>Kanakapura Road</v>
          </cell>
          <cell r="E49">
            <v>95</v>
          </cell>
          <cell r="F49">
            <v>960</v>
          </cell>
          <cell r="H49">
            <v>4</v>
          </cell>
        </row>
        <row r="50">
          <cell r="A50" t="str">
            <v>Prestige Park Square</v>
          </cell>
          <cell r="B50" t="str">
            <v>Basavanapura</v>
          </cell>
          <cell r="E50">
            <v>278</v>
          </cell>
          <cell r="F50">
            <v>1771</v>
          </cell>
          <cell r="H50">
            <v>3.9</v>
          </cell>
        </row>
        <row r="51">
          <cell r="A51" t="str">
            <v>Jp Nagar, Bangalore, Bangalore South</v>
          </cell>
          <cell r="B51" t="str">
            <v>Jp Nagar</v>
          </cell>
          <cell r="E51">
            <v>345</v>
          </cell>
          <cell r="F51">
            <v>1200</v>
          </cell>
          <cell r="H51"/>
        </row>
        <row r="52">
          <cell r="A52" t="str">
            <v>Shriram Luxor</v>
          </cell>
          <cell r="B52" t="str">
            <v>Kannur</v>
          </cell>
          <cell r="E52">
            <v>115</v>
          </cell>
          <cell r="F52">
            <v>1195</v>
          </cell>
          <cell r="H52">
            <v>3.5</v>
          </cell>
        </row>
        <row r="53">
          <cell r="A53" t="str">
            <v>Sri Nandana Galaxy</v>
          </cell>
          <cell r="B53" t="str">
            <v>Chambenahalli</v>
          </cell>
          <cell r="E53">
            <v>72</v>
          </cell>
          <cell r="F53">
            <v>1040</v>
          </cell>
          <cell r="H53"/>
        </row>
        <row r="54">
          <cell r="A54" t="str">
            <v>Prestige Finsbury Park</v>
          </cell>
          <cell r="B54" t="str">
            <v>Bagalur</v>
          </cell>
          <cell r="E54">
            <v>132</v>
          </cell>
          <cell r="F54">
            <v>1277</v>
          </cell>
          <cell r="H54">
            <v>4.0999999999999996</v>
          </cell>
        </row>
        <row r="55">
          <cell r="A55" t="str">
            <v>Prestige Primrose Hills</v>
          </cell>
          <cell r="B55" t="str">
            <v>Uttarahalli Manavarthekaval</v>
          </cell>
          <cell r="E55">
            <v>110</v>
          </cell>
          <cell r="F55">
            <v>720</v>
          </cell>
          <cell r="H55"/>
        </row>
        <row r="56">
          <cell r="A56" t="str">
            <v>Sattva Divinity</v>
          </cell>
          <cell r="B56" t="str">
            <v>Mysore Road</v>
          </cell>
          <cell r="E56">
            <v>300</v>
          </cell>
          <cell r="F56">
            <v>1864</v>
          </cell>
          <cell r="H56">
            <v>4.0999999999999996</v>
          </cell>
        </row>
        <row r="57">
          <cell r="A57" t="str">
            <v>Bren Zahara</v>
          </cell>
          <cell r="B57" t="str">
            <v>Sarjapur Road</v>
          </cell>
          <cell r="E57">
            <v>255</v>
          </cell>
          <cell r="F57">
            <v>1784</v>
          </cell>
          <cell r="H57">
            <v>3.8</v>
          </cell>
        </row>
        <row r="58">
          <cell r="A58" t="str">
            <v>Shriram Summit</v>
          </cell>
          <cell r="B58" t="str">
            <v>Electronics City Phase 1</v>
          </cell>
          <cell r="E58">
            <v>135</v>
          </cell>
          <cell r="F58">
            <v>1305</v>
          </cell>
          <cell r="H58"/>
        </row>
        <row r="59">
          <cell r="A59" t="str">
            <v>Rj Enclave Apartment</v>
          </cell>
          <cell r="B59" t="str">
            <v>Junnasandra</v>
          </cell>
          <cell r="E59">
            <v>55</v>
          </cell>
          <cell r="F59">
            <v>1005</v>
          </cell>
          <cell r="H59"/>
        </row>
        <row r="60">
          <cell r="A60" t="str">
            <v>Emmay Environs Pride</v>
          </cell>
          <cell r="B60" t="str">
            <v>Whitefield</v>
          </cell>
          <cell r="E60">
            <v>77</v>
          </cell>
          <cell r="F60">
            <v>1075</v>
          </cell>
          <cell r="H60"/>
        </row>
        <row r="61">
          <cell r="A61" t="str">
            <v>Elegant Davis</v>
          </cell>
          <cell r="B61" t="str">
            <v>Pulikeshi Nagar</v>
          </cell>
          <cell r="E61">
            <v>250</v>
          </cell>
          <cell r="F61">
            <v>2200</v>
          </cell>
          <cell r="H61"/>
        </row>
        <row r="62">
          <cell r="A62" t="str">
            <v>Sobha Dream Gardens</v>
          </cell>
          <cell r="B62" t="str">
            <v>Thanisandra</v>
          </cell>
          <cell r="E62">
            <v>120</v>
          </cell>
          <cell r="F62">
            <v>1052</v>
          </cell>
          <cell r="H62">
            <v>3.7</v>
          </cell>
        </row>
        <row r="63">
          <cell r="A63" t="str">
            <v>Bhartiya City Nikoo Homes 1</v>
          </cell>
          <cell r="B63" t="str">
            <v>Thanisandra</v>
          </cell>
          <cell r="E63">
            <v>126</v>
          </cell>
          <cell r="F63">
            <v>1113</v>
          </cell>
          <cell r="H63"/>
        </row>
        <row r="64">
          <cell r="A64" t="str">
            <v>Sekhar Olympus</v>
          </cell>
          <cell r="B64" t="str">
            <v>Horamavu</v>
          </cell>
          <cell r="E64">
            <v>145</v>
          </cell>
          <cell r="F64">
            <v>1459</v>
          </cell>
          <cell r="H64"/>
        </row>
        <row r="65">
          <cell r="A65" t="str">
            <v>Sobha Royal Pavilion</v>
          </cell>
          <cell r="B65" t="str">
            <v>Sarjapur Road</v>
          </cell>
          <cell r="E65">
            <v>320</v>
          </cell>
          <cell r="F65">
            <v>1804</v>
          </cell>
          <cell r="H65">
            <v>4.2</v>
          </cell>
        </row>
        <row r="66">
          <cell r="A66" t="str">
            <v>Sree Adithya Lotus Park</v>
          </cell>
          <cell r="B66" t="str">
            <v>Kodigehalli</v>
          </cell>
          <cell r="E66">
            <v>86.71</v>
          </cell>
          <cell r="F66">
            <v>1196</v>
          </cell>
          <cell r="H66"/>
        </row>
        <row r="67">
          <cell r="A67" t="str">
            <v>Green View</v>
          </cell>
          <cell r="B67" t="str">
            <v>Electronic City</v>
          </cell>
          <cell r="E67">
            <v>49</v>
          </cell>
          <cell r="F67">
            <v>918</v>
          </cell>
          <cell r="H67"/>
        </row>
        <row r="68">
          <cell r="A68" t="str">
            <v>Sobha Silicon Oasis</v>
          </cell>
          <cell r="B68" t="str">
            <v>Beratena Agrahara</v>
          </cell>
          <cell r="E68">
            <v>164</v>
          </cell>
          <cell r="F68">
            <v>1370</v>
          </cell>
          <cell r="H68">
            <v>4</v>
          </cell>
        </row>
        <row r="69">
          <cell r="A69" t="str">
            <v>Vajarahalli, Bangalore, Bangalore South</v>
          </cell>
          <cell r="B69" t="str">
            <v>Vajarahalli</v>
          </cell>
          <cell r="E69">
            <v>490</v>
          </cell>
          <cell r="F69">
            <v>1500</v>
          </cell>
          <cell r="H69"/>
        </row>
        <row r="70">
          <cell r="A70" t="str">
            <v>Vaishnavi Splendour</v>
          </cell>
          <cell r="B70" t="str">
            <v>Ashwathnagar</v>
          </cell>
          <cell r="E70">
            <v>490</v>
          </cell>
          <cell r="F70">
            <v>2204</v>
          </cell>
          <cell r="H70"/>
        </row>
        <row r="71">
          <cell r="A71" t="str">
            <v>Saroj Harmony</v>
          </cell>
          <cell r="B71" t="str">
            <v>Varthur</v>
          </cell>
          <cell r="E71">
            <v>161</v>
          </cell>
          <cell r="F71">
            <v>1725</v>
          </cell>
          <cell r="H71"/>
        </row>
        <row r="72">
          <cell r="A72" t="str">
            <v>Marvel Sequoia</v>
          </cell>
          <cell r="B72" t="str">
            <v>Vsr Layout</v>
          </cell>
          <cell r="E72">
            <v>125</v>
          </cell>
          <cell r="F72">
            <v>1295</v>
          </cell>
          <cell r="H72"/>
        </row>
        <row r="73">
          <cell r="A73" t="str">
            <v>Sobha Dream Acres</v>
          </cell>
          <cell r="B73" t="str">
            <v>Balagere</v>
          </cell>
          <cell r="E73">
            <v>125</v>
          </cell>
          <cell r="F73">
            <v>1012</v>
          </cell>
          <cell r="H73">
            <v>4.2</v>
          </cell>
        </row>
        <row r="74">
          <cell r="A74" t="str">
            <v>Bhartiya City Nikoo Homes 1</v>
          </cell>
          <cell r="B74" t="str">
            <v>Thanisandra</v>
          </cell>
          <cell r="E74">
            <v>120</v>
          </cell>
          <cell r="F74">
            <v>1098</v>
          </cell>
          <cell r="H74"/>
        </row>
        <row r="75">
          <cell r="A75" t="str">
            <v>Prestige Finsbury Park</v>
          </cell>
          <cell r="B75" t="str">
            <v>Bagalur</v>
          </cell>
          <cell r="E75">
            <v>172</v>
          </cell>
          <cell r="F75">
            <v>1562</v>
          </cell>
          <cell r="H75">
            <v>4.0999999999999996</v>
          </cell>
        </row>
        <row r="76">
          <cell r="A76" t="str">
            <v>Prestige Finsbury Park</v>
          </cell>
          <cell r="B76" t="str">
            <v>Bagalur</v>
          </cell>
          <cell r="E76">
            <v>138</v>
          </cell>
          <cell r="F76">
            <v>1224</v>
          </cell>
          <cell r="H76">
            <v>4.0999999999999996</v>
          </cell>
        </row>
        <row r="77">
          <cell r="A77" t="str">
            <v>Aishwarya Amaze</v>
          </cell>
          <cell r="B77" t="str">
            <v>Seenappa Layout</v>
          </cell>
          <cell r="E77">
            <v>65</v>
          </cell>
          <cell r="F77">
            <v>950</v>
          </cell>
          <cell r="H77"/>
        </row>
        <row r="78">
          <cell r="A78" t="str">
            <v>Sai Shama</v>
          </cell>
          <cell r="B78" t="str">
            <v>Banashankari</v>
          </cell>
          <cell r="E78">
            <v>265</v>
          </cell>
          <cell r="F78">
            <v>2399</v>
          </cell>
          <cell r="H78"/>
        </row>
        <row r="79">
          <cell r="A79" t="str">
            <v>Shriram Sameeksha</v>
          </cell>
          <cell r="B79" t="str">
            <v>Kuvempu Nagar</v>
          </cell>
          <cell r="E79">
            <v>105</v>
          </cell>
          <cell r="F79">
            <v>1550</v>
          </cell>
          <cell r="H79">
            <v>4</v>
          </cell>
        </row>
        <row r="80">
          <cell r="A80" t="str">
            <v>Prestige Shantiniketan</v>
          </cell>
          <cell r="B80" t="str">
            <v>Whitefield</v>
          </cell>
          <cell r="E80">
            <v>407</v>
          </cell>
          <cell r="F80">
            <v>2292</v>
          </cell>
          <cell r="H80">
            <v>4.5</v>
          </cell>
        </row>
        <row r="81">
          <cell r="A81" t="str">
            <v>Ab Daffodils</v>
          </cell>
          <cell r="B81" t="str">
            <v>Phase 1 Kammasandra</v>
          </cell>
          <cell r="E81">
            <v>58</v>
          </cell>
          <cell r="F81">
            <v>1255</v>
          </cell>
          <cell r="H81"/>
        </row>
        <row r="82">
          <cell r="A82" t="str">
            <v>Elegance</v>
          </cell>
          <cell r="B82" t="str">
            <v>Electronic City</v>
          </cell>
          <cell r="E82">
            <v>49.81</v>
          </cell>
          <cell r="F82">
            <v>945</v>
          </cell>
          <cell r="H82"/>
        </row>
        <row r="83">
          <cell r="A83" t="str">
            <v>Sri Sai Nandana Royal</v>
          </cell>
          <cell r="B83" t="str">
            <v>Electronics City Phase 1</v>
          </cell>
          <cell r="E83">
            <v>55</v>
          </cell>
          <cell r="F83">
            <v>1185</v>
          </cell>
          <cell r="H83">
            <v>3.9</v>
          </cell>
        </row>
        <row r="84">
          <cell r="A84" t="str">
            <v>On Request</v>
          </cell>
          <cell r="B84" t="str">
            <v>Richmond Town</v>
          </cell>
          <cell r="E84">
            <v>450</v>
          </cell>
          <cell r="F84">
            <v>2200</v>
          </cell>
          <cell r="H84"/>
        </row>
        <row r="85">
          <cell r="A85" t="str">
            <v>Shriram Sameeksha</v>
          </cell>
          <cell r="B85" t="str">
            <v>Kuvempu Nagar</v>
          </cell>
          <cell r="E85">
            <v>100</v>
          </cell>
          <cell r="F85">
            <v>1300</v>
          </cell>
          <cell r="H85">
            <v>4</v>
          </cell>
        </row>
        <row r="86">
          <cell r="A86" t="str">
            <v>Srs Sunrise</v>
          </cell>
          <cell r="B86" t="str">
            <v>Parappana Agrahara</v>
          </cell>
          <cell r="E86">
            <v>106</v>
          </cell>
          <cell r="F86">
            <v>1456</v>
          </cell>
          <cell r="H86"/>
        </row>
        <row r="87">
          <cell r="A87" t="str">
            <v>Pariwar Passion</v>
          </cell>
          <cell r="B87" t="str">
            <v>Doddakammanahalli</v>
          </cell>
          <cell r="E87">
            <v>99</v>
          </cell>
          <cell r="F87">
            <v>1485</v>
          </cell>
          <cell r="H87"/>
        </row>
        <row r="88">
          <cell r="A88" t="str">
            <v>Brigade Omega</v>
          </cell>
          <cell r="B88" t="str">
            <v>Banashankari Stage 6</v>
          </cell>
          <cell r="E88">
            <v>145</v>
          </cell>
          <cell r="F88">
            <v>1710</v>
          </cell>
          <cell r="H88">
            <v>3.9</v>
          </cell>
        </row>
        <row r="89">
          <cell r="A89" t="str">
            <v>Rj Enclave Apartment</v>
          </cell>
          <cell r="B89" t="str">
            <v>Junnasandra</v>
          </cell>
          <cell r="E89">
            <v>54</v>
          </cell>
          <cell r="F89">
            <v>988</v>
          </cell>
          <cell r="H89"/>
        </row>
        <row r="90">
          <cell r="A90" t="str">
            <v>Vajram Essenza</v>
          </cell>
          <cell r="B90" t="str">
            <v>Chokkanahalli</v>
          </cell>
          <cell r="E90">
            <v>109</v>
          </cell>
          <cell r="F90">
            <v>1258</v>
          </cell>
          <cell r="H90"/>
        </row>
        <row r="91">
          <cell r="A91" t="str">
            <v>Sai Shama</v>
          </cell>
          <cell r="B91" t="str">
            <v>Giri Nagar</v>
          </cell>
          <cell r="E91">
            <v>265</v>
          </cell>
          <cell r="F91">
            <v>2401</v>
          </cell>
          <cell r="H91"/>
        </row>
        <row r="92">
          <cell r="A92" t="str">
            <v>Shriram Smrithi</v>
          </cell>
          <cell r="B92" t="str">
            <v>Sarjapura Attibele Road</v>
          </cell>
          <cell r="E92">
            <v>76</v>
          </cell>
          <cell r="F92">
            <v>1395</v>
          </cell>
          <cell r="H92"/>
        </row>
        <row r="93">
          <cell r="A93" t="str">
            <v>Temple Vaivhava Apartment</v>
          </cell>
          <cell r="B93" t="str">
            <v>Nyanappana Halli</v>
          </cell>
          <cell r="E93">
            <v>86</v>
          </cell>
          <cell r="F93">
            <v>1250</v>
          </cell>
          <cell r="H93"/>
        </row>
        <row r="94">
          <cell r="A94" t="str">
            <v>Hiranandani Glen Gate</v>
          </cell>
          <cell r="B94" t="str">
            <v>Hebbal</v>
          </cell>
          <cell r="E94">
            <v>155</v>
          </cell>
          <cell r="F94">
            <v>1240</v>
          </cell>
          <cell r="H94">
            <v>3.7</v>
          </cell>
        </row>
        <row r="95">
          <cell r="A95" t="str">
            <v>Shriram Sameeksha</v>
          </cell>
          <cell r="B95" t="str">
            <v>Kuvempu Nagar</v>
          </cell>
          <cell r="E95">
            <v>56</v>
          </cell>
          <cell r="F95">
            <v>800</v>
          </cell>
          <cell r="H95">
            <v>4</v>
          </cell>
        </row>
        <row r="96">
          <cell r="A96" t="str">
            <v>Bhartiya City Nikoo Homes Phase 2</v>
          </cell>
          <cell r="B96" t="str">
            <v>Chokkanahalli</v>
          </cell>
          <cell r="E96">
            <v>284</v>
          </cell>
          <cell r="F96">
            <v>2204</v>
          </cell>
          <cell r="H96">
            <v>4.4000000000000004</v>
          </cell>
        </row>
        <row r="97">
          <cell r="A97" t="str">
            <v>S V Nivas</v>
          </cell>
          <cell r="B97" t="str">
            <v>Duo Layout</v>
          </cell>
          <cell r="E97">
            <v>75</v>
          </cell>
          <cell r="F97">
            <v>1210</v>
          </cell>
          <cell r="H97"/>
        </row>
        <row r="98">
          <cell r="A98" t="str">
            <v>Mukunda Nandanam</v>
          </cell>
          <cell r="B98" t="str">
            <v>Kr Puram</v>
          </cell>
          <cell r="E98">
            <v>109</v>
          </cell>
          <cell r="F98">
            <v>1560</v>
          </cell>
          <cell r="H98"/>
        </row>
        <row r="99">
          <cell r="A99" t="str">
            <v>Sapthagiri Sandalwoods</v>
          </cell>
          <cell r="B99" t="str">
            <v>Kadugodi</v>
          </cell>
          <cell r="E99">
            <v>91.43</v>
          </cell>
          <cell r="F99">
            <v>1219</v>
          </cell>
          <cell r="H99"/>
        </row>
        <row r="100">
          <cell r="A100" t="str">
            <v>Sapthagiri Sandalwoods</v>
          </cell>
          <cell r="B100" t="str">
            <v>Kadugodi</v>
          </cell>
          <cell r="E100">
            <v>87</v>
          </cell>
          <cell r="F100">
            <v>1160</v>
          </cell>
          <cell r="H100"/>
        </row>
        <row r="101">
          <cell r="A101" t="str">
            <v>Mukunda Nandanam</v>
          </cell>
          <cell r="B101" t="str">
            <v>Kr Puram</v>
          </cell>
          <cell r="E101">
            <v>102</v>
          </cell>
          <cell r="F101">
            <v>1500</v>
          </cell>
          <cell r="H101"/>
        </row>
        <row r="102">
          <cell r="A102" t="str">
            <v>Sri Nandana Galaxy</v>
          </cell>
          <cell r="B102" t="str">
            <v>Sompura</v>
          </cell>
          <cell r="E102">
            <v>95</v>
          </cell>
          <cell r="F102">
            <v>1245</v>
          </cell>
          <cell r="H102"/>
        </row>
        <row r="103">
          <cell r="A103" t="str">
            <v>Galaxy Sri Nandana Galaxy</v>
          </cell>
          <cell r="B103" t="str">
            <v>Yamare</v>
          </cell>
          <cell r="E103">
            <v>98</v>
          </cell>
          <cell r="F103">
            <v>1350</v>
          </cell>
          <cell r="H103"/>
        </row>
        <row r="104">
          <cell r="A104" t="str">
            <v>Sri Nandana Galaxy</v>
          </cell>
          <cell r="B104" t="str">
            <v>Chambenahalli</v>
          </cell>
          <cell r="E104">
            <v>101</v>
          </cell>
          <cell r="F104">
            <v>1395</v>
          </cell>
          <cell r="H104"/>
        </row>
        <row r="105">
          <cell r="A105" t="str">
            <v>Sri Nandana Galaxy</v>
          </cell>
          <cell r="B105" t="str">
            <v>Sarjapur Road</v>
          </cell>
          <cell r="E105">
            <v>86.55</v>
          </cell>
          <cell r="F105">
            <v>1245</v>
          </cell>
          <cell r="H105"/>
        </row>
        <row r="106">
          <cell r="A106" t="str">
            <v>Sri Nandana Galaxy</v>
          </cell>
          <cell r="B106" t="str">
            <v>Sarjapur Road</v>
          </cell>
          <cell r="E106">
            <v>105</v>
          </cell>
          <cell r="F106">
            <v>1485</v>
          </cell>
          <cell r="H106"/>
        </row>
        <row r="107">
          <cell r="A107" t="str">
            <v>Galaxy Sri Nandana Galaxy</v>
          </cell>
          <cell r="B107" t="str">
            <v>Chambenahalli</v>
          </cell>
          <cell r="E107">
            <v>105</v>
          </cell>
          <cell r="F107">
            <v>1485</v>
          </cell>
          <cell r="H107"/>
        </row>
        <row r="108">
          <cell r="A108" t="str">
            <v>Galaxy Sri Nandana Galaxy</v>
          </cell>
          <cell r="B108" t="str">
            <v>Yamare</v>
          </cell>
          <cell r="E108">
            <v>84.5</v>
          </cell>
          <cell r="F108">
            <v>1160</v>
          </cell>
          <cell r="H108"/>
        </row>
        <row r="109">
          <cell r="A109" t="str">
            <v>Sri Nandana Galaxy</v>
          </cell>
          <cell r="B109" t="str">
            <v>Sarjapur Road</v>
          </cell>
          <cell r="E109">
            <v>99</v>
          </cell>
          <cell r="F109">
            <v>1395</v>
          </cell>
          <cell r="H109"/>
        </row>
        <row r="110">
          <cell r="A110" t="str">
            <v>Rj Enclave Apartment</v>
          </cell>
          <cell r="B110" t="str">
            <v>Junnasandra</v>
          </cell>
          <cell r="E110">
            <v>55</v>
          </cell>
          <cell r="F110">
            <v>1005</v>
          </cell>
          <cell r="H110"/>
        </row>
        <row r="111">
          <cell r="A111" t="str">
            <v>Rj Enclave Apartment</v>
          </cell>
          <cell r="B111" t="str">
            <v>Junnasandra</v>
          </cell>
          <cell r="E111">
            <v>55</v>
          </cell>
          <cell r="F111">
            <v>1005</v>
          </cell>
          <cell r="H111"/>
        </row>
        <row r="112">
          <cell r="A112" t="str">
            <v>Rj Enclave Apartment</v>
          </cell>
          <cell r="B112" t="str">
            <v>Junnasandra</v>
          </cell>
          <cell r="E112">
            <v>55</v>
          </cell>
          <cell r="F112">
            <v>1008</v>
          </cell>
          <cell r="H112"/>
        </row>
        <row r="113">
          <cell r="A113" t="str">
            <v>Aarna Royal Apartment</v>
          </cell>
          <cell r="B113" t="str">
            <v>Ananth Nagar</v>
          </cell>
          <cell r="E113">
            <v>60</v>
          </cell>
          <cell r="F113">
            <v>1400</v>
          </cell>
          <cell r="H113"/>
        </row>
        <row r="114">
          <cell r="A114" t="str">
            <v>Aarna Royal Apartment</v>
          </cell>
          <cell r="B114" t="str">
            <v>Ananth Nagar</v>
          </cell>
          <cell r="E114">
            <v>61</v>
          </cell>
          <cell r="F114">
            <v>1425</v>
          </cell>
          <cell r="H114"/>
        </row>
        <row r="115">
          <cell r="A115" t="str">
            <v>Aarna Royal Apartment</v>
          </cell>
          <cell r="B115" t="str">
            <v>Ananth Nagar Phase 2</v>
          </cell>
          <cell r="E115">
            <v>60</v>
          </cell>
          <cell r="F115">
            <v>1400</v>
          </cell>
          <cell r="H115"/>
        </row>
        <row r="116">
          <cell r="A116" t="str">
            <v>Aarna Royal Apartment</v>
          </cell>
          <cell r="B116" t="str">
            <v>Ananth Nagar</v>
          </cell>
          <cell r="E116">
            <v>60</v>
          </cell>
          <cell r="F116">
            <v>1400</v>
          </cell>
          <cell r="H116"/>
        </row>
        <row r="117">
          <cell r="A117" t="str">
            <v>Aarna Royal Apartment</v>
          </cell>
          <cell r="B117" t="str">
            <v>Ananth Nagar</v>
          </cell>
          <cell r="E117">
            <v>61</v>
          </cell>
          <cell r="F117">
            <v>1425</v>
          </cell>
          <cell r="H117"/>
        </row>
        <row r="118">
          <cell r="A118" t="str">
            <v>Rj Vintage Apartment</v>
          </cell>
          <cell r="B118" t="str">
            <v>Phase 1 Kammasandra</v>
          </cell>
          <cell r="E118">
            <v>66</v>
          </cell>
          <cell r="F118">
            <v>1423</v>
          </cell>
          <cell r="H118"/>
        </row>
        <row r="119">
          <cell r="A119" t="str">
            <v>Rj Vintage Apartment</v>
          </cell>
          <cell r="B119" t="str">
            <v>Ananth Nagar</v>
          </cell>
          <cell r="E119">
            <v>65</v>
          </cell>
          <cell r="F119">
            <v>1400</v>
          </cell>
          <cell r="H119"/>
        </row>
        <row r="120">
          <cell r="A120" t="str">
            <v>Temple Vaibhav Apartment</v>
          </cell>
          <cell r="B120" t="str">
            <v>Nyanappana Halli</v>
          </cell>
          <cell r="E120">
            <v>85</v>
          </cell>
          <cell r="F120">
            <v>1250</v>
          </cell>
          <cell r="H120"/>
        </row>
        <row r="121">
          <cell r="A121" t="str">
            <v>Ss P</v>
          </cell>
          <cell r="B121" t="str">
            <v>Jp Nagar</v>
          </cell>
          <cell r="E121">
            <v>335</v>
          </cell>
          <cell r="F121">
            <v>1200</v>
          </cell>
          <cell r="H121"/>
        </row>
        <row r="122">
          <cell r="A122" t="str">
            <v>Sobha City Santorini</v>
          </cell>
          <cell r="B122" t="str">
            <v>Nagareshwara - Nagenahalli</v>
          </cell>
          <cell r="E122">
            <v>220</v>
          </cell>
          <cell r="F122">
            <v>1740</v>
          </cell>
          <cell r="H122"/>
        </row>
        <row r="123">
          <cell r="A123" t="str">
            <v>Confident Oxygen</v>
          </cell>
          <cell r="B123" t="str">
            <v>Chambenahalli</v>
          </cell>
          <cell r="E123">
            <v>90</v>
          </cell>
          <cell r="F123">
            <v>1087</v>
          </cell>
          <cell r="H123"/>
        </row>
        <row r="124">
          <cell r="A124" t="str">
            <v>Cansa Dhiya</v>
          </cell>
          <cell r="B124" t="str">
            <v>Panathur</v>
          </cell>
          <cell r="E124">
            <v>78</v>
          </cell>
          <cell r="F124">
            <v>970</v>
          </cell>
          <cell r="H124">
            <v>3.5</v>
          </cell>
        </row>
        <row r="125">
          <cell r="A125" t="str">
            <v>Green View</v>
          </cell>
          <cell r="B125" t="str">
            <v>Electronic City</v>
          </cell>
          <cell r="E125">
            <v>66</v>
          </cell>
          <cell r="F125">
            <v>1350</v>
          </cell>
          <cell r="H125"/>
        </row>
        <row r="126">
          <cell r="A126" t="str">
            <v>Pride Pegasus</v>
          </cell>
          <cell r="B126" t="str">
            <v>Hennur Gardens</v>
          </cell>
          <cell r="E126">
            <v>195</v>
          </cell>
          <cell r="F126">
            <v>1629</v>
          </cell>
          <cell r="H126"/>
        </row>
        <row r="127">
          <cell r="A127" t="str">
            <v>Ajmera Lakeside Paradise</v>
          </cell>
          <cell r="B127" t="str">
            <v>Kempanahalli</v>
          </cell>
          <cell r="E127">
            <v>90</v>
          </cell>
          <cell r="F127">
            <v>1100</v>
          </cell>
          <cell r="H127"/>
        </row>
        <row r="128">
          <cell r="A128" t="str">
            <v>Ajmera Lakeside Paradise</v>
          </cell>
          <cell r="B128" t="str">
            <v>Kempanahalli</v>
          </cell>
          <cell r="E128">
            <v>60</v>
          </cell>
          <cell r="F128">
            <v>666</v>
          </cell>
          <cell r="H128"/>
        </row>
        <row r="129">
          <cell r="A129" t="str">
            <v>Ds Max Sparkle Nest</v>
          </cell>
          <cell r="B129" t="str">
            <v>K.Narayanapura</v>
          </cell>
          <cell r="E129">
            <v>75</v>
          </cell>
          <cell r="F129">
            <v>1094</v>
          </cell>
          <cell r="H129"/>
        </row>
        <row r="130">
          <cell r="A130" t="str">
            <v>Shriram Sameeksha</v>
          </cell>
          <cell r="B130" t="str">
            <v>Kuvempu Nagar</v>
          </cell>
          <cell r="E130">
            <v>75</v>
          </cell>
          <cell r="F130">
            <v>1020</v>
          </cell>
          <cell r="H130">
            <v>4</v>
          </cell>
        </row>
        <row r="131">
          <cell r="A131" t="str">
            <v>Singsandra Hsr</v>
          </cell>
          <cell r="B131" t="str">
            <v>Singasandra</v>
          </cell>
          <cell r="E131">
            <v>65</v>
          </cell>
          <cell r="F131">
            <v>1050</v>
          </cell>
          <cell r="H131"/>
        </row>
        <row r="132">
          <cell r="A132" t="str">
            <v>Sree Adithya Lotus Park</v>
          </cell>
          <cell r="B132" t="str">
            <v>Kr Puram</v>
          </cell>
          <cell r="E132">
            <v>83.2</v>
          </cell>
          <cell r="F132">
            <v>1154</v>
          </cell>
          <cell r="H132"/>
        </row>
        <row r="133">
          <cell r="A133" t="str">
            <v>Sree Adithya Lotus Park</v>
          </cell>
          <cell r="B133" t="str">
            <v>Kr Puram</v>
          </cell>
          <cell r="E133">
            <v>80.78</v>
          </cell>
          <cell r="F133">
            <v>1141</v>
          </cell>
          <cell r="H133"/>
        </row>
        <row r="134">
          <cell r="A134" t="str">
            <v>Sapthagiri Sandalwoods</v>
          </cell>
          <cell r="B134" t="str">
            <v>Kadugodi</v>
          </cell>
          <cell r="E134">
            <v>92.25</v>
          </cell>
          <cell r="F134">
            <v>1230</v>
          </cell>
          <cell r="H134"/>
        </row>
        <row r="135">
          <cell r="A135" t="str">
            <v>Sapthagiri Sandalwoods</v>
          </cell>
          <cell r="B135" t="str">
            <v>Kadugodi</v>
          </cell>
          <cell r="E135">
            <v>94.5</v>
          </cell>
          <cell r="F135">
            <v>1260</v>
          </cell>
          <cell r="H135"/>
        </row>
        <row r="136">
          <cell r="A136" t="str">
            <v>Mukunda Nandanam</v>
          </cell>
          <cell r="B136" t="str">
            <v>Kadugodi</v>
          </cell>
          <cell r="E136">
            <v>105</v>
          </cell>
          <cell r="F136">
            <v>1500</v>
          </cell>
          <cell r="H136"/>
        </row>
        <row r="137">
          <cell r="A137" t="str">
            <v>Assetz Sun And Sanctum</v>
          </cell>
          <cell r="B137" t="str">
            <v>Battarahalli</v>
          </cell>
          <cell r="E137">
            <v>225</v>
          </cell>
          <cell r="F137">
            <v>1658</v>
          </cell>
          <cell r="H137"/>
        </row>
        <row r="138">
          <cell r="A138" t="str">
            <v>Sobha Dream Acres</v>
          </cell>
          <cell r="B138" t="str">
            <v>Balagere</v>
          </cell>
          <cell r="E138">
            <v>160</v>
          </cell>
          <cell r="F138">
            <v>1205</v>
          </cell>
          <cell r="H138">
            <v>4.2</v>
          </cell>
        </row>
        <row r="139">
          <cell r="A139" t="str">
            <v>Temple Vaibhav Apartment</v>
          </cell>
          <cell r="B139" t="str">
            <v>Nyanappana Halli</v>
          </cell>
          <cell r="E139">
            <v>84</v>
          </cell>
          <cell r="F139">
            <v>1250</v>
          </cell>
          <cell r="H139"/>
        </row>
        <row r="140">
          <cell r="A140" t="str">
            <v>Temple Vaibhav Apartment</v>
          </cell>
          <cell r="B140" t="str">
            <v>Nyanappana Halli</v>
          </cell>
          <cell r="E140">
            <v>86</v>
          </cell>
          <cell r="F140">
            <v>1250</v>
          </cell>
          <cell r="H140"/>
        </row>
        <row r="141">
          <cell r="A141" t="str">
            <v>Hiranandani Glen Gate</v>
          </cell>
          <cell r="B141" t="str">
            <v>Hebbal</v>
          </cell>
          <cell r="E141">
            <v>265</v>
          </cell>
          <cell r="F141">
            <v>1665</v>
          </cell>
          <cell r="H141">
            <v>3.7</v>
          </cell>
        </row>
        <row r="142">
          <cell r="A142" t="str">
            <v>Shapoorji Pallonji Parkwest 2</v>
          </cell>
          <cell r="B142" t="str">
            <v>Binny Pete</v>
          </cell>
          <cell r="E142">
            <v>275</v>
          </cell>
          <cell r="F142">
            <v>1939</v>
          </cell>
          <cell r="H142"/>
        </row>
        <row r="143">
          <cell r="A143" t="str">
            <v>Serene At Brigade Cornerstone Utopia</v>
          </cell>
          <cell r="B143" t="str">
            <v>Varthur</v>
          </cell>
          <cell r="E143">
            <v>180</v>
          </cell>
          <cell r="F143">
            <v>1242</v>
          </cell>
          <cell r="H143"/>
        </row>
        <row r="144">
          <cell r="A144" t="str">
            <v>Sai Sadhan</v>
          </cell>
          <cell r="B144" t="str">
            <v>Electronics City Phase 1</v>
          </cell>
          <cell r="E144">
            <v>67</v>
          </cell>
          <cell r="F144">
            <v>1269</v>
          </cell>
          <cell r="H144"/>
        </row>
        <row r="145">
          <cell r="A145" t="str">
            <v>Galaxy Sri Nandana Galaxy</v>
          </cell>
          <cell r="B145" t="str">
            <v>Sarjapur</v>
          </cell>
          <cell r="E145">
            <v>89</v>
          </cell>
          <cell r="F145">
            <v>1245</v>
          </cell>
          <cell r="H145"/>
        </row>
        <row r="146">
          <cell r="A146" t="str">
            <v>Prestige Jindal City</v>
          </cell>
          <cell r="B146" t="str">
            <v>Tumkur Road</v>
          </cell>
          <cell r="E146">
            <v>85</v>
          </cell>
          <cell r="F146">
            <v>607</v>
          </cell>
          <cell r="H146">
            <v>4.0999999999999996</v>
          </cell>
        </row>
        <row r="147">
          <cell r="A147" t="str">
            <v>Temple Vaibhava Apartment</v>
          </cell>
          <cell r="B147" t="str">
            <v>Nyanappana Halli</v>
          </cell>
          <cell r="E147">
            <v>85</v>
          </cell>
          <cell r="F147">
            <v>1250</v>
          </cell>
          <cell r="H147"/>
        </row>
        <row r="148">
          <cell r="A148" t="str">
            <v>Sri Sai Nandana Royal</v>
          </cell>
          <cell r="B148" t="str">
            <v>Electronics City Phase 1</v>
          </cell>
          <cell r="E148">
            <v>74</v>
          </cell>
          <cell r="F148">
            <v>1680</v>
          </cell>
          <cell r="H148"/>
        </row>
        <row r="149">
          <cell r="A149" t="str">
            <v>Bhartiya City Nikoo Homes 1</v>
          </cell>
          <cell r="B149" t="str">
            <v>Thanisandra</v>
          </cell>
          <cell r="E149">
            <v>185</v>
          </cell>
          <cell r="F149">
            <v>1948</v>
          </cell>
          <cell r="H149"/>
        </row>
        <row r="150">
          <cell r="A150" t="str">
            <v>Brigade Parkside North</v>
          </cell>
          <cell r="B150" t="str">
            <v>Jalahalli</v>
          </cell>
          <cell r="E150">
            <v>90</v>
          </cell>
          <cell r="F150">
            <v>1144</v>
          </cell>
          <cell r="H150">
            <v>3.7</v>
          </cell>
        </row>
        <row r="151">
          <cell r="A151" t="str">
            <v>Concorde Auriga</v>
          </cell>
          <cell r="B151" t="str">
            <v>Kr Puram</v>
          </cell>
          <cell r="E151">
            <v>96</v>
          </cell>
          <cell r="F151">
            <v>833</v>
          </cell>
          <cell r="H151"/>
        </row>
        <row r="152">
          <cell r="A152" t="str">
            <v>Sree Adithya Lotus Park</v>
          </cell>
          <cell r="B152" t="str">
            <v>Kr Puram</v>
          </cell>
          <cell r="E152">
            <v>111</v>
          </cell>
          <cell r="F152">
            <v>1551</v>
          </cell>
          <cell r="H152"/>
        </row>
        <row r="153">
          <cell r="A153" t="str">
            <v>Skanda</v>
          </cell>
          <cell r="B153" t="str">
            <v>Singasandra</v>
          </cell>
          <cell r="E153">
            <v>67.5</v>
          </cell>
          <cell r="F153">
            <v>1090</v>
          </cell>
          <cell r="H153"/>
        </row>
        <row r="154">
          <cell r="A154" t="str">
            <v>Mukunda Nandanam</v>
          </cell>
          <cell r="B154" t="str">
            <v>Kr Puram</v>
          </cell>
          <cell r="E154">
            <v>110</v>
          </cell>
          <cell r="F154">
            <v>1575</v>
          </cell>
          <cell r="H154"/>
        </row>
        <row r="155">
          <cell r="A155" t="str">
            <v>Mukunda Nandanam</v>
          </cell>
          <cell r="B155" t="str">
            <v>Kr Puram</v>
          </cell>
          <cell r="E155">
            <v>85.68</v>
          </cell>
          <cell r="F155">
            <v>1260</v>
          </cell>
          <cell r="H155"/>
        </row>
        <row r="156">
          <cell r="A156" t="str">
            <v>Ajmera Marina</v>
          </cell>
          <cell r="B156" t="str">
            <v>Kempanahalli</v>
          </cell>
          <cell r="E156">
            <v>140</v>
          </cell>
          <cell r="F156">
            <v>1600</v>
          </cell>
          <cell r="H156"/>
        </row>
        <row r="157">
          <cell r="A157" t="str">
            <v>H M Dwaraka</v>
          </cell>
          <cell r="B157" t="str">
            <v>Rajarajeshwari Nagar</v>
          </cell>
          <cell r="E157">
            <v>180</v>
          </cell>
          <cell r="F157">
            <v>2400</v>
          </cell>
          <cell r="H157"/>
        </row>
        <row r="158">
          <cell r="A158" t="str">
            <v>Hennur Road, Bangalore, Bangalore North</v>
          </cell>
          <cell r="B158" t="str">
            <v>Hennur Road</v>
          </cell>
          <cell r="E158">
            <v>300</v>
          </cell>
          <cell r="F158">
            <v>1200</v>
          </cell>
          <cell r="H158"/>
        </row>
        <row r="159">
          <cell r="A159" t="str">
            <v>Sri Nandana Galaxy</v>
          </cell>
          <cell r="B159" t="str">
            <v>Sarjapur Road</v>
          </cell>
          <cell r="E159">
            <v>103</v>
          </cell>
          <cell r="F159">
            <v>1485</v>
          </cell>
          <cell r="H159"/>
        </row>
        <row r="160">
          <cell r="A160" t="str">
            <v>Galaxy Sri Nandana Galaxy</v>
          </cell>
          <cell r="B160" t="str">
            <v>Sarjapur Road</v>
          </cell>
          <cell r="E160">
            <v>95</v>
          </cell>
          <cell r="F160">
            <v>1350</v>
          </cell>
          <cell r="H160"/>
        </row>
        <row r="161">
          <cell r="A161" t="str">
            <v>Hiranandani Glen Gate</v>
          </cell>
          <cell r="B161" t="str">
            <v>Hebbal</v>
          </cell>
          <cell r="E161">
            <v>260</v>
          </cell>
          <cell r="F161">
            <v>1665</v>
          </cell>
          <cell r="H161">
            <v>3.7</v>
          </cell>
        </row>
        <row r="162">
          <cell r="A162" t="str">
            <v>Sri Nandana Galaxy</v>
          </cell>
          <cell r="B162" t="str">
            <v>Sarjapur Road</v>
          </cell>
          <cell r="E162">
            <v>98</v>
          </cell>
          <cell r="F162">
            <v>1395</v>
          </cell>
          <cell r="H162"/>
        </row>
        <row r="163">
          <cell r="A163" t="str">
            <v>Sri Nandana Galaxy</v>
          </cell>
          <cell r="B163" t="str">
            <v>Sarjapur Road</v>
          </cell>
          <cell r="E163">
            <v>70.709999999999994</v>
          </cell>
          <cell r="F163">
            <v>1010</v>
          </cell>
          <cell r="H163"/>
        </row>
        <row r="164">
          <cell r="A164" t="str">
            <v>Sri Nandana Galaxy</v>
          </cell>
          <cell r="B164" t="str">
            <v>Sarjapur Road</v>
          </cell>
          <cell r="E164">
            <v>70.37</v>
          </cell>
          <cell r="F164">
            <v>1005</v>
          </cell>
          <cell r="H164"/>
        </row>
        <row r="165">
          <cell r="A165" t="str">
            <v>Sumadhura Eden Garden</v>
          </cell>
          <cell r="B165" t="str">
            <v>Whitefield</v>
          </cell>
          <cell r="E165">
            <v>92</v>
          </cell>
          <cell r="F165">
            <v>670</v>
          </cell>
          <cell r="H165">
            <v>3.7</v>
          </cell>
        </row>
        <row r="166">
          <cell r="A166" t="str">
            <v>Nitesh Hyde Park</v>
          </cell>
          <cell r="B166" t="str">
            <v>Hulimavu</v>
          </cell>
          <cell r="E166">
            <v>57</v>
          </cell>
          <cell r="F166">
            <v>800</v>
          </cell>
          <cell r="H166">
            <v>3.8</v>
          </cell>
        </row>
        <row r="167">
          <cell r="A167" t="str">
            <v>Sriram Sameeksha</v>
          </cell>
          <cell r="B167" t="str">
            <v>Jalahalli</v>
          </cell>
          <cell r="E167">
            <v>85</v>
          </cell>
          <cell r="F167">
            <v>1020</v>
          </cell>
          <cell r="H167"/>
        </row>
        <row r="168">
          <cell r="A168" t="str">
            <v>Srs Sunrise</v>
          </cell>
          <cell r="B168" t="str">
            <v>Parappana Agrahara</v>
          </cell>
          <cell r="E168">
            <v>102</v>
          </cell>
          <cell r="F168">
            <v>1398</v>
          </cell>
          <cell r="H168"/>
        </row>
        <row r="169">
          <cell r="A169" t="str">
            <v>Ab Daffodils</v>
          </cell>
          <cell r="B169" t="str">
            <v>Ananth Nagar Phase 2</v>
          </cell>
          <cell r="E169">
            <v>46.9</v>
          </cell>
          <cell r="F169">
            <v>1015</v>
          </cell>
          <cell r="H169"/>
        </row>
        <row r="170">
          <cell r="A170" t="str">
            <v>Sri Nandana Galaxy</v>
          </cell>
          <cell r="B170" t="str">
            <v>Dommasandra</v>
          </cell>
          <cell r="E170">
            <v>80.819999999999993</v>
          </cell>
          <cell r="F170">
            <v>1160</v>
          </cell>
          <cell r="H170"/>
        </row>
        <row r="171">
          <cell r="A171" t="str">
            <v>Mukunda Nandanam Project</v>
          </cell>
          <cell r="B171" t="str">
            <v>Kr Puram</v>
          </cell>
          <cell r="E171">
            <v>85.4</v>
          </cell>
          <cell r="F171">
            <v>1220</v>
          </cell>
          <cell r="H171"/>
        </row>
        <row r="172">
          <cell r="A172" t="str">
            <v>Sapthagiri Sandal Woods</v>
          </cell>
          <cell r="B172" t="str">
            <v>Kadugodi</v>
          </cell>
          <cell r="E172">
            <v>90.3</v>
          </cell>
          <cell r="F172">
            <v>1204</v>
          </cell>
          <cell r="H172"/>
        </row>
        <row r="173">
          <cell r="A173" t="str">
            <v>Mukunda Nandanam</v>
          </cell>
          <cell r="B173" t="str">
            <v>Kr Puram</v>
          </cell>
          <cell r="E173">
            <v>85.05</v>
          </cell>
          <cell r="F173">
            <v>1215</v>
          </cell>
          <cell r="H173"/>
        </row>
        <row r="174">
          <cell r="A174" t="str">
            <v>Patel Smondo 2</v>
          </cell>
          <cell r="B174" t="str">
            <v>Thirupalya</v>
          </cell>
          <cell r="E174">
            <v>75</v>
          </cell>
          <cell r="F174">
            <v>1025</v>
          </cell>
          <cell r="H174"/>
        </row>
        <row r="175">
          <cell r="A175" t="str">
            <v>Sobha Hrc Pristine</v>
          </cell>
          <cell r="B175" t="str">
            <v>Jakkur</v>
          </cell>
          <cell r="E175">
            <v>305</v>
          </cell>
          <cell r="F175">
            <v>1819</v>
          </cell>
          <cell r="H175">
            <v>3.7</v>
          </cell>
        </row>
        <row r="176">
          <cell r="A176" t="str">
            <v>Galaxy Sri Nandana Galaxy</v>
          </cell>
          <cell r="B176" t="str">
            <v>Yamare</v>
          </cell>
          <cell r="E176">
            <v>72</v>
          </cell>
          <cell r="F176">
            <v>1005</v>
          </cell>
          <cell r="H176"/>
        </row>
        <row r="177">
          <cell r="A177" t="str">
            <v>Prestige West Woodsmagadi Road</v>
          </cell>
          <cell r="B177" t="str">
            <v>Magadi Road</v>
          </cell>
          <cell r="E177">
            <v>190</v>
          </cell>
          <cell r="F177">
            <v>1268</v>
          </cell>
          <cell r="H177"/>
        </row>
        <row r="178">
          <cell r="A178" t="str">
            <v>Sobha Royal Pavilion</v>
          </cell>
          <cell r="B178" t="str">
            <v>Sarjapur Road</v>
          </cell>
          <cell r="E178">
            <v>300</v>
          </cell>
          <cell r="F178">
            <v>1806</v>
          </cell>
          <cell r="H178">
            <v>4.2</v>
          </cell>
        </row>
        <row r="179">
          <cell r="A179" t="str">
            <v>Nitesh Hyde Park</v>
          </cell>
          <cell r="B179" t="str">
            <v>Hulimavu</v>
          </cell>
          <cell r="E179">
            <v>74.900000000000006</v>
          </cell>
          <cell r="F179">
            <v>1000</v>
          </cell>
          <cell r="H179">
            <v>3.8</v>
          </cell>
        </row>
        <row r="180">
          <cell r="A180" t="str">
            <v>Nitesh Hyde Park</v>
          </cell>
          <cell r="B180" t="str">
            <v>Hulimavu</v>
          </cell>
          <cell r="E180">
            <v>74.55</v>
          </cell>
          <cell r="F180">
            <v>969</v>
          </cell>
          <cell r="H180">
            <v>3.8</v>
          </cell>
        </row>
        <row r="181">
          <cell r="A181" t="str">
            <v>Godrej United</v>
          </cell>
          <cell r="B181" t="str">
            <v>Whitefield</v>
          </cell>
          <cell r="E181">
            <v>375</v>
          </cell>
          <cell r="F181">
            <v>1933</v>
          </cell>
          <cell r="H181">
            <v>3.7</v>
          </cell>
        </row>
        <row r="182">
          <cell r="A182" t="str">
            <v>Habulus Samruddhi Apartment</v>
          </cell>
          <cell r="B182" t="str">
            <v>Kammasandra</v>
          </cell>
          <cell r="E182">
            <v>43.5</v>
          </cell>
          <cell r="F182">
            <v>1089</v>
          </cell>
          <cell r="H182">
            <v>3.8</v>
          </cell>
        </row>
        <row r="183">
          <cell r="A183" t="str">
            <v>Shriram Greenfield</v>
          </cell>
          <cell r="B183" t="str">
            <v>Bommenahalli</v>
          </cell>
          <cell r="E183">
            <v>108</v>
          </cell>
          <cell r="F183">
            <v>1225</v>
          </cell>
          <cell r="H183">
            <v>4</v>
          </cell>
        </row>
        <row r="184">
          <cell r="A184" t="str">
            <v>Green View</v>
          </cell>
          <cell r="B184" t="str">
            <v>Neeladri Nagar</v>
          </cell>
          <cell r="E184">
            <v>48.5</v>
          </cell>
          <cell r="F184">
            <v>945</v>
          </cell>
          <cell r="H184"/>
        </row>
        <row r="185">
          <cell r="A185" t="str">
            <v>Brigade Parkside North</v>
          </cell>
          <cell r="B185" t="str">
            <v>Jalahalli</v>
          </cell>
          <cell r="E185">
            <v>88</v>
          </cell>
          <cell r="F185">
            <v>1268</v>
          </cell>
          <cell r="H185">
            <v>3.7</v>
          </cell>
        </row>
        <row r="186">
          <cell r="A186" t="str">
            <v>Mukunda Nandanam</v>
          </cell>
          <cell r="B186" t="str">
            <v>Kr Puram</v>
          </cell>
          <cell r="E186">
            <v>75.25</v>
          </cell>
          <cell r="F186">
            <v>1075</v>
          </cell>
          <cell r="H186"/>
        </row>
        <row r="187">
          <cell r="A187" t="str">
            <v>Prestige Park Square</v>
          </cell>
          <cell r="B187" t="str">
            <v>Basavanapura</v>
          </cell>
          <cell r="E187">
            <v>170</v>
          </cell>
          <cell r="F187">
            <v>1130</v>
          </cell>
          <cell r="H187">
            <v>3.9</v>
          </cell>
        </row>
        <row r="188">
          <cell r="A188" t="str">
            <v>Shriram Sameeksha</v>
          </cell>
          <cell r="B188" t="str">
            <v>Kuvempu Nagar</v>
          </cell>
          <cell r="E188">
            <v>79</v>
          </cell>
          <cell r="F188">
            <v>1020</v>
          </cell>
          <cell r="H188">
            <v>4</v>
          </cell>
        </row>
        <row r="189">
          <cell r="A189" t="str">
            <v>Prestige West Woodsmagadi Road</v>
          </cell>
          <cell r="B189" t="str">
            <v>Magadi Road</v>
          </cell>
          <cell r="E189">
            <v>300</v>
          </cell>
          <cell r="F189">
            <v>1770</v>
          </cell>
          <cell r="H189"/>
        </row>
        <row r="190">
          <cell r="A190" t="str">
            <v>Nitesh Hyde Park</v>
          </cell>
          <cell r="B190" t="str">
            <v>Hulimavu</v>
          </cell>
          <cell r="E190">
            <v>75.099999999999994</v>
          </cell>
          <cell r="F190">
            <v>969</v>
          </cell>
          <cell r="H190">
            <v>3.8</v>
          </cell>
        </row>
        <row r="191">
          <cell r="A191" t="str">
            <v>Brigade Parkside North</v>
          </cell>
          <cell r="B191" t="str">
            <v>Jalahalli</v>
          </cell>
          <cell r="E191">
            <v>85</v>
          </cell>
          <cell r="F191">
            <v>1207</v>
          </cell>
          <cell r="H191">
            <v>3.7</v>
          </cell>
        </row>
        <row r="192">
          <cell r="A192" t="str">
            <v>Nr Windgates</v>
          </cell>
          <cell r="B192" t="str">
            <v>Chokkanahalli</v>
          </cell>
          <cell r="E192">
            <v>111</v>
          </cell>
          <cell r="F192">
            <v>1549</v>
          </cell>
          <cell r="H192"/>
        </row>
        <row r="193">
          <cell r="A193" t="str">
            <v>Shapoorji Pallonji Parkwest 2</v>
          </cell>
          <cell r="B193" t="str">
            <v>Binny Pete</v>
          </cell>
          <cell r="E193">
            <v>165</v>
          </cell>
          <cell r="F193">
            <v>1455</v>
          </cell>
          <cell r="H193"/>
        </row>
        <row r="194">
          <cell r="A194" t="str">
            <v>Sapthagiri Sandalwoods</v>
          </cell>
          <cell r="B194" t="str">
            <v>Kadugodi</v>
          </cell>
          <cell r="E194">
            <v>111</v>
          </cell>
          <cell r="F194">
            <v>1483</v>
          </cell>
          <cell r="H194"/>
        </row>
        <row r="195">
          <cell r="A195" t="str">
            <v>Prestige Lakeside Habitat</v>
          </cell>
          <cell r="B195" t="str">
            <v>Gunjur</v>
          </cell>
          <cell r="E195">
            <v>231</v>
          </cell>
          <cell r="F195">
            <v>1697</v>
          </cell>
          <cell r="H195">
            <v>4.3</v>
          </cell>
        </row>
        <row r="196">
          <cell r="A196" t="str">
            <v>Shriram Southern Crest</v>
          </cell>
          <cell r="B196" t="str">
            <v>Jp Nagar</v>
          </cell>
          <cell r="E196">
            <v>180</v>
          </cell>
          <cell r="F196">
            <v>1300</v>
          </cell>
          <cell r="H196">
            <v>4</v>
          </cell>
        </row>
        <row r="197">
          <cell r="A197" t="str">
            <v>Sobha Clovelly</v>
          </cell>
          <cell r="B197" t="str">
            <v>Kadarenahalli</v>
          </cell>
          <cell r="E197">
            <v>320</v>
          </cell>
          <cell r="F197">
            <v>2350</v>
          </cell>
          <cell r="H197"/>
        </row>
        <row r="198">
          <cell r="A198" t="str">
            <v>Nitesh Hyde Park</v>
          </cell>
          <cell r="B198" t="str">
            <v>Hulimavu</v>
          </cell>
          <cell r="E198">
            <v>54.68</v>
          </cell>
          <cell r="F198">
            <v>699</v>
          </cell>
          <cell r="H198">
            <v>3.8</v>
          </cell>
        </row>
        <row r="199">
          <cell r="A199" t="str">
            <v>Nitesh Hyde Park</v>
          </cell>
          <cell r="B199" t="str">
            <v>Hulimavu</v>
          </cell>
          <cell r="E199">
            <v>75</v>
          </cell>
          <cell r="F199">
            <v>1100</v>
          </cell>
          <cell r="H199">
            <v>3.8</v>
          </cell>
        </row>
        <row r="200">
          <cell r="A200" t="str">
            <v>Venu Regency</v>
          </cell>
          <cell r="B200" t="str">
            <v>Lottegolla Halli</v>
          </cell>
          <cell r="E200">
            <v>85</v>
          </cell>
          <cell r="F200">
            <v>1700</v>
          </cell>
          <cell r="H200"/>
        </row>
        <row r="201">
          <cell r="A201" t="str">
            <v>Venu Regency</v>
          </cell>
          <cell r="B201" t="str">
            <v>Lottegolla Halli</v>
          </cell>
          <cell r="E201">
            <v>75</v>
          </cell>
          <cell r="F201">
            <v>1410</v>
          </cell>
          <cell r="H201"/>
        </row>
        <row r="202">
          <cell r="A202" t="str">
            <v>Nitesh Camp David</v>
          </cell>
          <cell r="B202" t="str">
            <v>Pulikeshi Nagar</v>
          </cell>
          <cell r="E202">
            <v>310</v>
          </cell>
          <cell r="F202">
            <v>3000</v>
          </cell>
          <cell r="H202"/>
        </row>
        <row r="203">
          <cell r="A203" t="str">
            <v>Shriram Summit</v>
          </cell>
          <cell r="B203" t="str">
            <v>Electronics City Phase 1</v>
          </cell>
          <cell r="E203">
            <v>125</v>
          </cell>
          <cell r="F203">
            <v>1365</v>
          </cell>
          <cell r="H203"/>
        </row>
        <row r="204">
          <cell r="A204" t="str">
            <v>Vbhc Vaibhava</v>
          </cell>
          <cell r="B204" t="str">
            <v>Byagadadhenahalli</v>
          </cell>
          <cell r="E204">
            <v>23</v>
          </cell>
          <cell r="F204">
            <v>500</v>
          </cell>
          <cell r="H204">
            <v>4</v>
          </cell>
        </row>
        <row r="205">
          <cell r="A205" t="str">
            <v>Sri Sakhthi</v>
          </cell>
          <cell r="B205" t="str">
            <v>Kammasandra</v>
          </cell>
          <cell r="E205">
            <v>52</v>
          </cell>
          <cell r="F205">
            <v>1270</v>
          </cell>
          <cell r="H205"/>
        </row>
        <row r="206">
          <cell r="A206" t="str">
            <v>Mukunda Nandanm</v>
          </cell>
          <cell r="B206" t="str">
            <v>Kr Puram</v>
          </cell>
          <cell r="E206">
            <v>84.7</v>
          </cell>
          <cell r="F206">
            <v>1210</v>
          </cell>
          <cell r="H206"/>
        </row>
        <row r="207">
          <cell r="A207" t="str">
            <v>Hiranandani Glen Gate</v>
          </cell>
          <cell r="B207" t="str">
            <v>Hebbal</v>
          </cell>
          <cell r="E207">
            <v>245</v>
          </cell>
          <cell r="F207">
            <v>1810</v>
          </cell>
          <cell r="H207">
            <v>3.7</v>
          </cell>
        </row>
        <row r="208">
          <cell r="A208" t="str">
            <v>Hiranandani Glen Gate</v>
          </cell>
          <cell r="B208" t="str">
            <v>Hebbal</v>
          </cell>
          <cell r="E208">
            <v>270</v>
          </cell>
          <cell r="F208">
            <v>1665</v>
          </cell>
          <cell r="H208">
            <v>3.7</v>
          </cell>
        </row>
        <row r="209">
          <cell r="A209" t="str">
            <v>Sattva East Crest</v>
          </cell>
          <cell r="B209" t="str">
            <v>Bandapura</v>
          </cell>
          <cell r="E209">
            <v>155</v>
          </cell>
          <cell r="F209">
            <v>1425</v>
          </cell>
          <cell r="H209">
            <v>3.6</v>
          </cell>
        </row>
        <row r="210">
          <cell r="A210" t="str">
            <v>Sobha Windsor</v>
          </cell>
          <cell r="B210" t="str">
            <v>Whitefield</v>
          </cell>
          <cell r="E210">
            <v>250</v>
          </cell>
          <cell r="F210">
            <v>1817</v>
          </cell>
          <cell r="H210">
            <v>4.3</v>
          </cell>
        </row>
        <row r="211">
          <cell r="A211" t="str">
            <v>Brigade Cornerstone Utopia</v>
          </cell>
          <cell r="B211" t="str">
            <v>Varthur</v>
          </cell>
          <cell r="E211">
            <v>152</v>
          </cell>
          <cell r="F211">
            <v>1097</v>
          </cell>
          <cell r="H211">
            <v>3.8</v>
          </cell>
        </row>
        <row r="212">
          <cell r="A212" t="str">
            <v>Vishal Nest</v>
          </cell>
          <cell r="B212" t="str">
            <v>Jakkur</v>
          </cell>
          <cell r="E212">
            <v>85</v>
          </cell>
          <cell r="F212">
            <v>1348</v>
          </cell>
          <cell r="H212"/>
        </row>
        <row r="213">
          <cell r="A213" t="str">
            <v>Nitesh Hyde Park</v>
          </cell>
          <cell r="B213" t="str">
            <v>Hulimavu</v>
          </cell>
          <cell r="E213">
            <v>75.2</v>
          </cell>
          <cell r="F213">
            <v>1021</v>
          </cell>
          <cell r="H213">
            <v>3.8</v>
          </cell>
        </row>
        <row r="214">
          <cell r="A214" t="str">
            <v>Vaishnavi Terraces</v>
          </cell>
          <cell r="B214" t="str">
            <v>Dollar Scheme Colony</v>
          </cell>
          <cell r="E214">
            <v>400</v>
          </cell>
          <cell r="F214">
            <v>2535</v>
          </cell>
          <cell r="H214">
            <v>4</v>
          </cell>
        </row>
        <row r="215">
          <cell r="A215" t="str">
            <v>Gopalan Atlantis</v>
          </cell>
          <cell r="B215" t="str">
            <v>Dodsworth Layout</v>
          </cell>
          <cell r="E215">
            <v>136</v>
          </cell>
          <cell r="F215">
            <v>1245</v>
          </cell>
          <cell r="H215">
            <v>3.8</v>
          </cell>
        </row>
        <row r="216">
          <cell r="A216" t="str">
            <v>Provident Sunworth</v>
          </cell>
          <cell r="B216" t="str">
            <v>Mysore Road</v>
          </cell>
          <cell r="E216">
            <v>48</v>
          </cell>
          <cell r="F216">
            <v>883</v>
          </cell>
          <cell r="H216">
            <v>4.3</v>
          </cell>
        </row>
        <row r="217">
          <cell r="A217" t="str">
            <v>Provident Sunworth</v>
          </cell>
          <cell r="B217" t="str">
            <v>Mysore Road</v>
          </cell>
          <cell r="E217">
            <v>58</v>
          </cell>
          <cell r="F217">
            <v>1082</v>
          </cell>
          <cell r="H217">
            <v>4.3</v>
          </cell>
        </row>
        <row r="218">
          <cell r="A218" t="str">
            <v>Provident Sunworth</v>
          </cell>
          <cell r="B218" t="str">
            <v>Mysore Road</v>
          </cell>
          <cell r="E218">
            <v>47.5</v>
          </cell>
          <cell r="F218">
            <v>950</v>
          </cell>
          <cell r="H218">
            <v>4.3</v>
          </cell>
        </row>
        <row r="219">
          <cell r="A219" t="str">
            <v>Provident Sunworth</v>
          </cell>
          <cell r="B219" t="str">
            <v>Mysore Road</v>
          </cell>
          <cell r="E219">
            <v>59</v>
          </cell>
          <cell r="F219">
            <v>1082</v>
          </cell>
          <cell r="H219">
            <v>4.3</v>
          </cell>
        </row>
        <row r="220">
          <cell r="A220" t="str">
            <v>Provident Sunworth</v>
          </cell>
          <cell r="B220" t="str">
            <v>Mysore Road</v>
          </cell>
          <cell r="E220">
            <v>57.5</v>
          </cell>
          <cell r="F220">
            <v>1082</v>
          </cell>
          <cell r="H220">
            <v>4.3</v>
          </cell>
        </row>
        <row r="221">
          <cell r="A221" t="str">
            <v>Provident Sunworth</v>
          </cell>
          <cell r="B221" t="str">
            <v>Mysore Road</v>
          </cell>
          <cell r="E221">
            <v>48.5</v>
          </cell>
          <cell r="F221">
            <v>883</v>
          </cell>
          <cell r="H221">
            <v>4.3</v>
          </cell>
        </row>
        <row r="222">
          <cell r="A222" t="str">
            <v>Provident Sunworth</v>
          </cell>
          <cell r="B222" t="str">
            <v>Mysore Road</v>
          </cell>
          <cell r="E222">
            <v>57.8</v>
          </cell>
          <cell r="F222">
            <v>1100</v>
          </cell>
          <cell r="H222">
            <v>4.3</v>
          </cell>
        </row>
        <row r="223">
          <cell r="A223" t="str">
            <v>Srk Park View</v>
          </cell>
          <cell r="B223" t="str">
            <v>Aecs Layout - A Block</v>
          </cell>
          <cell r="E223">
            <v>95</v>
          </cell>
          <cell r="F223">
            <v>1920</v>
          </cell>
          <cell r="H223"/>
        </row>
        <row r="224">
          <cell r="A224" t="str">
            <v>Kino At Brigade Orchards</v>
          </cell>
          <cell r="B224" t="str">
            <v>Devanahalli</v>
          </cell>
          <cell r="E224">
            <v>86</v>
          </cell>
          <cell r="F224">
            <v>1027</v>
          </cell>
          <cell r="H224"/>
        </row>
        <row r="225">
          <cell r="A225" t="str">
            <v>Salarpuria Sattva Cadenza</v>
          </cell>
          <cell r="B225" t="str">
            <v>Kudlu Gate</v>
          </cell>
          <cell r="E225">
            <v>260</v>
          </cell>
          <cell r="F225">
            <v>1564</v>
          </cell>
          <cell r="H225">
            <v>4.2</v>
          </cell>
        </row>
        <row r="226">
          <cell r="A226" t="str">
            <v>Sjr Luxuria</v>
          </cell>
          <cell r="B226" t="str">
            <v>Araka Mico Layout</v>
          </cell>
          <cell r="E226">
            <v>210</v>
          </cell>
          <cell r="F226">
            <v>2095</v>
          </cell>
          <cell r="H226"/>
        </row>
        <row r="227">
          <cell r="A227" t="str">
            <v>Shobha Garrison</v>
          </cell>
          <cell r="B227" t="str">
            <v>Nagasandra</v>
          </cell>
          <cell r="E227">
            <v>150</v>
          </cell>
          <cell r="F227">
            <v>1700</v>
          </cell>
          <cell r="H227"/>
        </row>
        <row r="228">
          <cell r="A228" t="str">
            <v>Sattva Misty Charm</v>
          </cell>
          <cell r="B228" t="str">
            <v>Kanakapura Road</v>
          </cell>
          <cell r="E228">
            <v>130</v>
          </cell>
          <cell r="F228">
            <v>1254</v>
          </cell>
          <cell r="H228">
            <v>4</v>
          </cell>
        </row>
        <row r="229">
          <cell r="A229" t="str">
            <v>Prime Nest Apartment</v>
          </cell>
          <cell r="B229" t="str">
            <v>Akshayanagara West</v>
          </cell>
          <cell r="E229">
            <v>65</v>
          </cell>
          <cell r="F229">
            <v>1060</v>
          </cell>
          <cell r="H229"/>
        </row>
        <row r="230">
          <cell r="A230" t="str">
            <v>Prime Nest Apartment</v>
          </cell>
          <cell r="B230" t="str">
            <v>Akshayanagara West</v>
          </cell>
          <cell r="E230">
            <v>60</v>
          </cell>
          <cell r="F230">
            <v>1060</v>
          </cell>
          <cell r="H230"/>
        </row>
        <row r="231">
          <cell r="A231" t="str">
            <v>Shapoorji Pallonji Parkwest 2</v>
          </cell>
          <cell r="B231" t="str">
            <v>Binny Pete</v>
          </cell>
          <cell r="E231">
            <v>240</v>
          </cell>
          <cell r="F231">
            <v>1750</v>
          </cell>
          <cell r="H231"/>
        </row>
        <row r="232">
          <cell r="A232" t="str">
            <v>Shapoorji Pallonji Parkwest</v>
          </cell>
          <cell r="B232" t="str">
            <v>Binny Pete</v>
          </cell>
          <cell r="E232">
            <v>78</v>
          </cell>
          <cell r="F232">
            <v>665</v>
          </cell>
          <cell r="H232">
            <v>4.3</v>
          </cell>
        </row>
        <row r="233">
          <cell r="A233" t="str">
            <v>Shapoorji Pallonji Parkwest 2</v>
          </cell>
          <cell r="B233" t="str">
            <v>Binny Pete</v>
          </cell>
          <cell r="E233">
            <v>160</v>
          </cell>
          <cell r="F233">
            <v>1589</v>
          </cell>
          <cell r="H233"/>
        </row>
        <row r="234">
          <cell r="A234" t="str">
            <v>Sobha Rajvilas</v>
          </cell>
          <cell r="B234" t="str">
            <v>Rajajinagar</v>
          </cell>
          <cell r="E234">
            <v>350</v>
          </cell>
          <cell r="F234">
            <v>2000</v>
          </cell>
          <cell r="H234"/>
        </row>
        <row r="235">
          <cell r="A235" t="str">
            <v>Nitesh Camp David</v>
          </cell>
          <cell r="B235" t="str">
            <v>Pulikeshi Nagar</v>
          </cell>
          <cell r="E235">
            <v>315</v>
          </cell>
          <cell r="F235">
            <v>2900</v>
          </cell>
          <cell r="H235"/>
        </row>
        <row r="236">
          <cell r="A236" t="str">
            <v>Nitesh Hyde Park</v>
          </cell>
          <cell r="B236" t="str">
            <v>Hulimavu</v>
          </cell>
          <cell r="E236">
            <v>54</v>
          </cell>
          <cell r="F236">
            <v>688</v>
          </cell>
          <cell r="H236">
            <v>3.8</v>
          </cell>
        </row>
        <row r="237">
          <cell r="A237" t="str">
            <v>Nitesh Hyde Park</v>
          </cell>
          <cell r="B237" t="str">
            <v>Hulimavu</v>
          </cell>
          <cell r="E237">
            <v>54.5</v>
          </cell>
          <cell r="F237">
            <v>688</v>
          </cell>
          <cell r="H237">
            <v>3.8</v>
          </cell>
        </row>
        <row r="238">
          <cell r="A238" t="str">
            <v>Serene At Brigade Cornerstone Utopia</v>
          </cell>
          <cell r="B238" t="str">
            <v>Varthur</v>
          </cell>
          <cell r="E238">
            <v>218</v>
          </cell>
          <cell r="F238">
            <v>1645</v>
          </cell>
          <cell r="H238"/>
        </row>
        <row r="239">
          <cell r="A239" t="str">
            <v>Prestige City Avalon Park</v>
          </cell>
          <cell r="B239" t="str">
            <v>Sarjapur Road</v>
          </cell>
          <cell r="E239">
            <v>155</v>
          </cell>
          <cell r="F239">
            <v>1347</v>
          </cell>
          <cell r="H239"/>
        </row>
        <row r="240">
          <cell r="A240" t="str">
            <v>Prestige City Avalon Park</v>
          </cell>
          <cell r="B240" t="str">
            <v>Sarjapur Road</v>
          </cell>
          <cell r="E240">
            <v>190</v>
          </cell>
          <cell r="F240">
            <v>1536</v>
          </cell>
          <cell r="H240"/>
        </row>
        <row r="241">
          <cell r="A241" t="str">
            <v>L And T Raintree Boulevard</v>
          </cell>
          <cell r="B241" t="str">
            <v>Hebbal</v>
          </cell>
          <cell r="E241">
            <v>310</v>
          </cell>
          <cell r="F241">
            <v>2041</v>
          </cell>
          <cell r="H241">
            <v>4.0999999999999996</v>
          </cell>
        </row>
        <row r="242">
          <cell r="A242" t="str">
            <v>Hiranandani Glen Classic</v>
          </cell>
          <cell r="B242" t="str">
            <v>Hebbal</v>
          </cell>
          <cell r="E242">
            <v>83</v>
          </cell>
          <cell r="F242">
            <v>655</v>
          </cell>
          <cell r="H242"/>
        </row>
        <row r="243">
          <cell r="A243" t="str">
            <v>Prestige Park Square</v>
          </cell>
          <cell r="B243" t="str">
            <v>Basavanapura</v>
          </cell>
          <cell r="E243">
            <v>192</v>
          </cell>
          <cell r="F243">
            <v>1348</v>
          </cell>
          <cell r="H243">
            <v>3.9</v>
          </cell>
        </row>
        <row r="244">
          <cell r="A244" t="str">
            <v>Sowparnika Columns</v>
          </cell>
          <cell r="B244" t="str">
            <v>Soukya Road</v>
          </cell>
          <cell r="E244">
            <v>115</v>
          </cell>
          <cell r="F244">
            <v>1428</v>
          </cell>
          <cell r="H244">
            <v>3.8</v>
          </cell>
        </row>
        <row r="245">
          <cell r="A245" t="str">
            <v>Galaxy Sri Nandana Galaxy</v>
          </cell>
          <cell r="B245" t="str">
            <v>Chambenahalli</v>
          </cell>
          <cell r="E245">
            <v>72</v>
          </cell>
          <cell r="F245">
            <v>1005</v>
          </cell>
          <cell r="H245"/>
        </row>
        <row r="246">
          <cell r="A246" t="str">
            <v>Galaxy Sri Nandana Galaxy</v>
          </cell>
          <cell r="B246" t="str">
            <v>Chambenahalli</v>
          </cell>
          <cell r="E246">
            <v>83</v>
          </cell>
          <cell r="F246">
            <v>1160</v>
          </cell>
          <cell r="H246"/>
        </row>
        <row r="247">
          <cell r="A247" t="str">
            <v>Sri Nandana Galaxy</v>
          </cell>
          <cell r="B247" t="str">
            <v>Sarjapur Road</v>
          </cell>
          <cell r="E247">
            <v>93.62</v>
          </cell>
          <cell r="F247">
            <v>1350</v>
          </cell>
          <cell r="H247"/>
        </row>
        <row r="248">
          <cell r="A248" t="str">
            <v>Galaxy Sri Nandana Galaxy</v>
          </cell>
          <cell r="B248" t="str">
            <v>Chambenahalli</v>
          </cell>
          <cell r="E248">
            <v>99</v>
          </cell>
          <cell r="F248">
            <v>1405</v>
          </cell>
          <cell r="H248"/>
        </row>
        <row r="249">
          <cell r="A249" t="str">
            <v>Provident Park Square</v>
          </cell>
          <cell r="B249" t="str">
            <v>Kanakapura Road</v>
          </cell>
          <cell r="E249">
            <v>139</v>
          </cell>
          <cell r="F249">
            <v>1308</v>
          </cell>
          <cell r="H249">
            <v>4.0999999999999996</v>
          </cell>
        </row>
        <row r="250">
          <cell r="A250" t="str">
            <v>On Request</v>
          </cell>
          <cell r="B250" t="str">
            <v>Sindhi Colony</v>
          </cell>
          <cell r="E250">
            <v>265</v>
          </cell>
          <cell r="F250">
            <v>2000</v>
          </cell>
          <cell r="H250"/>
        </row>
        <row r="251">
          <cell r="A251" t="str">
            <v>Juniper At Brigade Orchards</v>
          </cell>
          <cell r="B251" t="str">
            <v>Devanahalli</v>
          </cell>
          <cell r="E251">
            <v>106</v>
          </cell>
          <cell r="F251">
            <v>1230</v>
          </cell>
          <cell r="H251">
            <v>3.4</v>
          </cell>
        </row>
        <row r="252">
          <cell r="A252" t="str">
            <v>Prestige Finsbury Park</v>
          </cell>
          <cell r="B252" t="str">
            <v>Bagalur</v>
          </cell>
          <cell r="E252">
            <v>99</v>
          </cell>
          <cell r="F252">
            <v>955</v>
          </cell>
          <cell r="H252">
            <v>4.0999999999999996</v>
          </cell>
        </row>
        <row r="253">
          <cell r="A253" t="str">
            <v>Habulus Enclave 2</v>
          </cell>
          <cell r="B253" t="str">
            <v>Kammasandra</v>
          </cell>
          <cell r="E253">
            <v>55</v>
          </cell>
          <cell r="F253">
            <v>1395</v>
          </cell>
          <cell r="H253">
            <v>3.8</v>
          </cell>
        </row>
        <row r="254">
          <cell r="A254" t="str">
            <v>Sobha Windsor</v>
          </cell>
          <cell r="B254" t="str">
            <v>Whitefield</v>
          </cell>
          <cell r="E254">
            <v>240</v>
          </cell>
          <cell r="F254">
            <v>1817</v>
          </cell>
          <cell r="H254">
            <v>4.3</v>
          </cell>
        </row>
        <row r="255">
          <cell r="A255" t="str">
            <v>Sobha Windsor</v>
          </cell>
          <cell r="B255" t="str">
            <v>Whitefield</v>
          </cell>
          <cell r="E255">
            <v>305</v>
          </cell>
          <cell r="F255">
            <v>2207</v>
          </cell>
          <cell r="H255">
            <v>4.3</v>
          </cell>
        </row>
        <row r="256">
          <cell r="A256" t="str">
            <v>Awho Sandeep Vihar</v>
          </cell>
          <cell r="B256" t="str">
            <v>Whitefield</v>
          </cell>
          <cell r="E256">
            <v>135</v>
          </cell>
          <cell r="F256">
            <v>1235</v>
          </cell>
          <cell r="H256"/>
        </row>
        <row r="257">
          <cell r="A257" t="str">
            <v>Trifecta Esplanade</v>
          </cell>
          <cell r="B257" t="str">
            <v>Kumbena Agrahara</v>
          </cell>
          <cell r="E257">
            <v>134</v>
          </cell>
          <cell r="F257">
            <v>1701</v>
          </cell>
          <cell r="H257"/>
        </row>
        <row r="258">
          <cell r="A258" t="str">
            <v>Trillium Apartments</v>
          </cell>
          <cell r="B258" t="str">
            <v>Hosa Road</v>
          </cell>
          <cell r="E258">
            <v>94</v>
          </cell>
          <cell r="F258">
            <v>1330</v>
          </cell>
          <cell r="H258"/>
        </row>
        <row r="259">
          <cell r="A259" t="str">
            <v>Sri Sai Nandana Royal</v>
          </cell>
          <cell r="B259" t="str">
            <v>Neeladri Nagar</v>
          </cell>
          <cell r="E259">
            <v>70.98</v>
          </cell>
          <cell r="F259">
            <v>1610</v>
          </cell>
          <cell r="H259">
            <v>3.9</v>
          </cell>
        </row>
        <row r="260">
          <cell r="A260" t="str">
            <v>Prestige Lakeside Habitat</v>
          </cell>
          <cell r="B260" t="str">
            <v>Gunjur</v>
          </cell>
          <cell r="E260">
            <v>163</v>
          </cell>
          <cell r="F260">
            <v>1195</v>
          </cell>
          <cell r="H260">
            <v>4.3</v>
          </cell>
        </row>
        <row r="261">
          <cell r="A261" t="str">
            <v>Sri Sai Nandana Royal</v>
          </cell>
          <cell r="B261" t="str">
            <v>Neeladri Nagar</v>
          </cell>
          <cell r="E261">
            <v>54.42</v>
          </cell>
          <cell r="F261">
            <v>1225</v>
          </cell>
          <cell r="H261">
            <v>3.9</v>
          </cell>
        </row>
        <row r="262">
          <cell r="A262" t="str">
            <v>Awho Sandeep Vihar</v>
          </cell>
          <cell r="B262" t="str">
            <v>Whitefield</v>
          </cell>
          <cell r="E262">
            <v>255</v>
          </cell>
          <cell r="F262">
            <v>2067</v>
          </cell>
          <cell r="H262"/>
        </row>
        <row r="263">
          <cell r="A263" t="str">
            <v>Sai Serenity</v>
          </cell>
          <cell r="B263" t="str">
            <v>Ananth Nagar Phase 2</v>
          </cell>
          <cell r="E263">
            <v>47.56</v>
          </cell>
          <cell r="F263">
            <v>1044</v>
          </cell>
          <cell r="H263"/>
        </row>
        <row r="264">
          <cell r="A264" t="str">
            <v>Godrej Avenues</v>
          </cell>
          <cell r="B264" t="str">
            <v>Yelahanka</v>
          </cell>
          <cell r="E264">
            <v>135</v>
          </cell>
          <cell r="F264">
            <v>1390</v>
          </cell>
          <cell r="H264">
            <v>4.0999999999999996</v>
          </cell>
        </row>
        <row r="265">
          <cell r="A265" t="str">
            <v>Nandagokula Aparyment</v>
          </cell>
          <cell r="B265" t="str">
            <v>Srinivasa Nagar</v>
          </cell>
          <cell r="E265">
            <v>118</v>
          </cell>
          <cell r="F265">
            <v>1200</v>
          </cell>
          <cell r="H265"/>
        </row>
        <row r="266">
          <cell r="A266" t="str">
            <v>Nandagokulam Residency</v>
          </cell>
          <cell r="B266" t="str">
            <v>Srinivasa Nagar</v>
          </cell>
          <cell r="E266">
            <v>118</v>
          </cell>
          <cell r="F266">
            <v>1201</v>
          </cell>
          <cell r="H266"/>
        </row>
        <row r="267">
          <cell r="A267" t="str">
            <v>Narayana Nagar 3Rd Block, Kanakapura Road, Bangalore South</v>
          </cell>
          <cell r="B267" t="str">
            <v>Narayana Nagar 3Rd Block</v>
          </cell>
          <cell r="E267">
            <v>168</v>
          </cell>
          <cell r="F267">
            <v>2400</v>
          </cell>
          <cell r="H267"/>
        </row>
        <row r="268">
          <cell r="A268" t="str">
            <v>Sobha Dream Gardens</v>
          </cell>
          <cell r="B268" t="str">
            <v>Thanisandra</v>
          </cell>
          <cell r="E268">
            <v>115</v>
          </cell>
          <cell r="F268">
            <v>1004</v>
          </cell>
          <cell r="H268">
            <v>3.7</v>
          </cell>
        </row>
        <row r="269">
          <cell r="A269" t="str">
            <v>Shriram Sahaana</v>
          </cell>
          <cell r="B269" t="str">
            <v>Yelahanka</v>
          </cell>
          <cell r="E269">
            <v>122</v>
          </cell>
          <cell r="F269">
            <v>1781</v>
          </cell>
          <cell r="H269"/>
        </row>
        <row r="270">
          <cell r="A270" t="str">
            <v>Maithri Shilpitha Sunflower</v>
          </cell>
          <cell r="B270" t="str">
            <v>Nallurhalli</v>
          </cell>
          <cell r="E270">
            <v>112</v>
          </cell>
          <cell r="F270">
            <v>1134</v>
          </cell>
          <cell r="H270">
            <v>4</v>
          </cell>
        </row>
        <row r="271">
          <cell r="A271" t="str">
            <v>Prestige Jindal City</v>
          </cell>
          <cell r="B271" t="str">
            <v>Tumkur Road</v>
          </cell>
          <cell r="E271">
            <v>126</v>
          </cell>
          <cell r="F271">
            <v>1073</v>
          </cell>
          <cell r="H271">
            <v>4.0999999999999996</v>
          </cell>
        </row>
        <row r="272">
          <cell r="A272" t="str">
            <v>Sai Nilayam</v>
          </cell>
          <cell r="B272" t="str">
            <v>Electronic City</v>
          </cell>
          <cell r="E272">
            <v>50</v>
          </cell>
          <cell r="F272">
            <v>1026</v>
          </cell>
          <cell r="H272"/>
        </row>
        <row r="273">
          <cell r="A273" t="str">
            <v>Concorde Auriga</v>
          </cell>
          <cell r="B273" t="str">
            <v>Kr Puram</v>
          </cell>
          <cell r="E273">
            <v>145</v>
          </cell>
          <cell r="F273">
            <v>1311</v>
          </cell>
          <cell r="H273"/>
        </row>
        <row r="274">
          <cell r="A274" t="str">
            <v>Padmanabhanagar, Outer Ring Road South, Bangalore South</v>
          </cell>
          <cell r="B274" t="str">
            <v>Padmanabhanagar</v>
          </cell>
          <cell r="E274">
            <v>240</v>
          </cell>
          <cell r="F274">
            <v>2200</v>
          </cell>
          <cell r="H274"/>
        </row>
        <row r="275">
          <cell r="A275" t="str">
            <v>On Request</v>
          </cell>
          <cell r="B275" t="str">
            <v>C K Gardens</v>
          </cell>
          <cell r="E275">
            <v>215</v>
          </cell>
          <cell r="F275">
            <v>1950</v>
          </cell>
          <cell r="H275"/>
        </row>
        <row r="276">
          <cell r="A276" t="str">
            <v>Windsor Zenith</v>
          </cell>
          <cell r="B276" t="str">
            <v>Cox Town</v>
          </cell>
          <cell r="E276">
            <v>250</v>
          </cell>
          <cell r="F276">
            <v>2000</v>
          </cell>
          <cell r="H276"/>
        </row>
        <row r="277">
          <cell r="A277" t="str">
            <v>Provident Park Square</v>
          </cell>
          <cell r="B277" t="str">
            <v>Kanakapura Road</v>
          </cell>
          <cell r="E277">
            <v>105</v>
          </cell>
          <cell r="F277">
            <v>1180</v>
          </cell>
          <cell r="H277">
            <v>4.0999999999999996</v>
          </cell>
        </row>
        <row r="278">
          <cell r="A278" t="str">
            <v>Prestige Finsbury Park</v>
          </cell>
          <cell r="B278" t="str">
            <v>Bagalur</v>
          </cell>
          <cell r="E278">
            <v>145</v>
          </cell>
          <cell r="F278">
            <v>1431</v>
          </cell>
          <cell r="H278">
            <v>4.0999999999999996</v>
          </cell>
        </row>
        <row r="279">
          <cell r="A279" t="str">
            <v>Radiance Blossom</v>
          </cell>
          <cell r="B279" t="str">
            <v>Mandur</v>
          </cell>
          <cell r="E279">
            <v>300</v>
          </cell>
          <cell r="F279">
            <v>2758</v>
          </cell>
          <cell r="H279"/>
        </row>
        <row r="280">
          <cell r="A280" t="str">
            <v>Prestige Primrose Hills</v>
          </cell>
          <cell r="B280" t="str">
            <v>Uttarahalli Manavarthekaval</v>
          </cell>
          <cell r="E280">
            <v>180</v>
          </cell>
          <cell r="F280">
            <v>1581</v>
          </cell>
          <cell r="H280"/>
        </row>
        <row r="281">
          <cell r="A281" t="str">
            <v>Snow Drops Residency</v>
          </cell>
          <cell r="B281" t="str">
            <v>Giri Nagar</v>
          </cell>
          <cell r="E281">
            <v>165</v>
          </cell>
          <cell r="F281">
            <v>1750</v>
          </cell>
          <cell r="H281"/>
        </row>
        <row r="282">
          <cell r="A282" t="str">
            <v>Prestige Primrose Hills</v>
          </cell>
          <cell r="B282" t="str">
            <v>Uttarahalli Manavarthekaval</v>
          </cell>
          <cell r="E282">
            <v>170</v>
          </cell>
          <cell r="F282">
            <v>1581</v>
          </cell>
          <cell r="H282"/>
        </row>
        <row r="283">
          <cell r="A283" t="str">
            <v>Prestige Jindal City</v>
          </cell>
          <cell r="B283" t="str">
            <v>Tumkur Road</v>
          </cell>
          <cell r="E283">
            <v>213</v>
          </cell>
          <cell r="F283">
            <v>1702</v>
          </cell>
          <cell r="H283">
            <v>4.0999999999999996</v>
          </cell>
        </row>
        <row r="284">
          <cell r="A284" t="str">
            <v>Royal Sri Nandana Royal</v>
          </cell>
          <cell r="B284" t="str">
            <v>Kiadb Industrial Area</v>
          </cell>
          <cell r="E284">
            <v>54.42</v>
          </cell>
          <cell r="F284">
            <v>1225</v>
          </cell>
          <cell r="H284"/>
        </row>
        <row r="285">
          <cell r="A285" t="str">
            <v>Provident Sunworth</v>
          </cell>
          <cell r="B285" t="str">
            <v>Mysore Road</v>
          </cell>
          <cell r="E285">
            <v>57.6</v>
          </cell>
          <cell r="F285">
            <v>1200</v>
          </cell>
          <cell r="H285">
            <v>4.3</v>
          </cell>
        </row>
        <row r="286">
          <cell r="A286" t="str">
            <v>On Request</v>
          </cell>
          <cell r="B286" t="str">
            <v>Frazer Town</v>
          </cell>
          <cell r="E286">
            <v>275</v>
          </cell>
          <cell r="F286">
            <v>2200</v>
          </cell>
          <cell r="H286"/>
        </row>
        <row r="287">
          <cell r="A287" t="str">
            <v>On Request</v>
          </cell>
          <cell r="B287" t="str">
            <v>Frazer Town</v>
          </cell>
          <cell r="E287">
            <v>187</v>
          </cell>
          <cell r="F287">
            <v>1700</v>
          </cell>
          <cell r="H287"/>
        </row>
        <row r="288">
          <cell r="A288" t="str">
            <v>Eden Park At The Prestige City</v>
          </cell>
          <cell r="B288" t="str">
            <v>Sarjapur</v>
          </cell>
          <cell r="E288">
            <v>109</v>
          </cell>
          <cell r="F288">
            <v>997</v>
          </cell>
          <cell r="H288"/>
        </row>
        <row r="289">
          <cell r="A289" t="str">
            <v>Divine Green Leaf</v>
          </cell>
          <cell r="B289" t="str">
            <v>Yelahanka</v>
          </cell>
          <cell r="E289">
            <v>119</v>
          </cell>
          <cell r="F289">
            <v>1580</v>
          </cell>
          <cell r="H289"/>
        </row>
        <row r="290">
          <cell r="A290" t="str">
            <v>Mahaveer Maple</v>
          </cell>
          <cell r="B290" t="str">
            <v>Brookefield</v>
          </cell>
          <cell r="E290">
            <v>128</v>
          </cell>
          <cell r="F290">
            <v>1170</v>
          </cell>
          <cell r="H290"/>
        </row>
        <row r="291">
          <cell r="A291" t="str">
            <v>Jade Residency</v>
          </cell>
          <cell r="B291" t="str">
            <v>Kammanahalli</v>
          </cell>
          <cell r="E291">
            <v>117</v>
          </cell>
          <cell r="F291">
            <v>1347</v>
          </cell>
          <cell r="H291"/>
        </row>
        <row r="292">
          <cell r="A292" t="str">
            <v>On Request</v>
          </cell>
          <cell r="B292" t="str">
            <v>Indira Nagar</v>
          </cell>
          <cell r="E292">
            <v>360</v>
          </cell>
          <cell r="F292">
            <v>1800</v>
          </cell>
          <cell r="H292"/>
        </row>
        <row r="293">
          <cell r="A293" t="str">
            <v>Prestige Finsbury Park</v>
          </cell>
          <cell r="B293" t="str">
            <v>Bagalur</v>
          </cell>
          <cell r="E293">
            <v>126</v>
          </cell>
          <cell r="F293">
            <v>1277</v>
          </cell>
          <cell r="H293">
            <v>4.0999999999999996</v>
          </cell>
        </row>
        <row r="294">
          <cell r="A294" t="str">
            <v>Mahendra Aarna</v>
          </cell>
          <cell r="B294" t="str">
            <v>Kammasandra</v>
          </cell>
          <cell r="E294">
            <v>98</v>
          </cell>
          <cell r="F294">
            <v>1075</v>
          </cell>
          <cell r="H294">
            <v>4</v>
          </cell>
        </row>
        <row r="295">
          <cell r="A295" t="str">
            <v>Sri Sai Nandana Royal</v>
          </cell>
          <cell r="B295" t="str">
            <v>Neeladri Nagar</v>
          </cell>
          <cell r="E295">
            <v>52.71</v>
          </cell>
          <cell r="F295">
            <v>1185</v>
          </cell>
          <cell r="H295"/>
        </row>
        <row r="296">
          <cell r="A296" t="str">
            <v>Provident Sunworth</v>
          </cell>
          <cell r="B296" t="str">
            <v>Mysore Road</v>
          </cell>
          <cell r="E296">
            <v>48.7</v>
          </cell>
          <cell r="F296">
            <v>900</v>
          </cell>
          <cell r="H296">
            <v>4.3</v>
          </cell>
        </row>
        <row r="297">
          <cell r="A297" t="str">
            <v>On Request</v>
          </cell>
          <cell r="B297" t="str">
            <v>Cooke Town</v>
          </cell>
          <cell r="E297">
            <v>200</v>
          </cell>
          <cell r="F297">
            <v>1910</v>
          </cell>
          <cell r="H297"/>
        </row>
        <row r="298">
          <cell r="A298" t="str">
            <v>Bhartiya City Nikoo Homes 1</v>
          </cell>
          <cell r="B298" t="str">
            <v>Thanisandra</v>
          </cell>
          <cell r="E298">
            <v>97</v>
          </cell>
          <cell r="F298">
            <v>934</v>
          </cell>
          <cell r="H298"/>
        </row>
        <row r="299">
          <cell r="A299" t="str">
            <v>Mantri Greens</v>
          </cell>
          <cell r="B299" t="str">
            <v>Malleshwaram</v>
          </cell>
          <cell r="E299">
            <v>330</v>
          </cell>
          <cell r="F299">
            <v>2050</v>
          </cell>
          <cell r="H299">
            <v>4.4000000000000004</v>
          </cell>
        </row>
        <row r="300">
          <cell r="A300" t="str">
            <v>Prestige Finsbury Park</v>
          </cell>
          <cell r="B300" t="str">
            <v>Bagalur</v>
          </cell>
          <cell r="E300">
            <v>149</v>
          </cell>
          <cell r="F300">
            <v>1431</v>
          </cell>
          <cell r="H300">
            <v>4.0999999999999996</v>
          </cell>
        </row>
        <row r="301">
          <cell r="A301" t="str">
            <v>Purva Park</v>
          </cell>
          <cell r="B301" t="str">
            <v>Jeevanhalli</v>
          </cell>
          <cell r="E301">
            <v>75</v>
          </cell>
          <cell r="F301">
            <v>1075</v>
          </cell>
          <cell r="H301"/>
        </row>
        <row r="302">
          <cell r="A302" t="str">
            <v>Prestige Waterford</v>
          </cell>
          <cell r="B302" t="str">
            <v>Whitefield</v>
          </cell>
          <cell r="E302">
            <v>320</v>
          </cell>
          <cell r="F302">
            <v>1775</v>
          </cell>
          <cell r="H302">
            <v>3.9</v>
          </cell>
        </row>
        <row r="303">
          <cell r="A303" t="str">
            <v>Prestige Primrose Hills</v>
          </cell>
          <cell r="B303" t="str">
            <v>Uttarahalli Manavarthekaval</v>
          </cell>
          <cell r="E303">
            <v>88</v>
          </cell>
          <cell r="F303">
            <v>720</v>
          </cell>
          <cell r="H303"/>
        </row>
        <row r="304">
          <cell r="A304" t="str">
            <v>Ds Max Splendor Nest</v>
          </cell>
          <cell r="B304" t="str">
            <v>Jalahalli</v>
          </cell>
          <cell r="E304">
            <v>35</v>
          </cell>
          <cell r="F304">
            <v>900</v>
          </cell>
          <cell r="H304">
            <v>3.3</v>
          </cell>
        </row>
        <row r="305">
          <cell r="A305" t="str">
            <v>Habulus Harmony</v>
          </cell>
          <cell r="B305" t="str">
            <v>Kammasandra</v>
          </cell>
          <cell r="E305">
            <v>31</v>
          </cell>
          <cell r="F305">
            <v>660</v>
          </cell>
          <cell r="H305">
            <v>3.5</v>
          </cell>
        </row>
        <row r="306">
          <cell r="A306" t="str">
            <v>Provident Sunworth</v>
          </cell>
          <cell r="B306" t="str">
            <v>Mysore Road</v>
          </cell>
          <cell r="E306">
            <v>46</v>
          </cell>
          <cell r="F306">
            <v>883</v>
          </cell>
          <cell r="H306">
            <v>4.3</v>
          </cell>
        </row>
        <row r="307">
          <cell r="A307" t="str">
            <v>Alpine Fiesta</v>
          </cell>
          <cell r="B307" t="str">
            <v>Hoodi</v>
          </cell>
          <cell r="E307">
            <v>100</v>
          </cell>
          <cell r="F307">
            <v>1025</v>
          </cell>
          <cell r="H307"/>
        </row>
        <row r="308">
          <cell r="A308" t="str">
            <v>Provident Sunworth</v>
          </cell>
          <cell r="B308" t="str">
            <v>Mysore Road</v>
          </cell>
          <cell r="E308">
            <v>56</v>
          </cell>
          <cell r="F308">
            <v>1082</v>
          </cell>
          <cell r="H308">
            <v>4.3</v>
          </cell>
        </row>
        <row r="309">
          <cell r="A309" t="str">
            <v>Provident Sunworth</v>
          </cell>
          <cell r="B309" t="str">
            <v>Mysore Road</v>
          </cell>
          <cell r="E309">
            <v>47</v>
          </cell>
          <cell r="F309">
            <v>883</v>
          </cell>
          <cell r="H309">
            <v>4.3</v>
          </cell>
        </row>
        <row r="310">
          <cell r="A310" t="str">
            <v>Bhartiya City Nikoo Homes Phase 2</v>
          </cell>
          <cell r="B310" t="str">
            <v>Chokkanahalli</v>
          </cell>
          <cell r="E310">
            <v>159</v>
          </cell>
          <cell r="F310">
            <v>1315</v>
          </cell>
          <cell r="H310">
            <v>4.4000000000000004</v>
          </cell>
        </row>
        <row r="311">
          <cell r="A311" t="str">
            <v>Prestige Primrose Hills</v>
          </cell>
          <cell r="B311" t="str">
            <v>Uttarahalli Manavarthekaval</v>
          </cell>
          <cell r="E311">
            <v>160</v>
          </cell>
          <cell r="F311">
            <v>1543</v>
          </cell>
          <cell r="H311"/>
        </row>
        <row r="312">
          <cell r="A312" t="str">
            <v>Prestige Primrose Hills</v>
          </cell>
          <cell r="B312" t="str">
            <v>Uttarahalli Manavarthekaval</v>
          </cell>
          <cell r="E312">
            <v>98</v>
          </cell>
          <cell r="F312">
            <v>988</v>
          </cell>
          <cell r="H312"/>
        </row>
        <row r="313">
          <cell r="A313" t="str">
            <v>Prestige Primrose Hills</v>
          </cell>
          <cell r="B313" t="str">
            <v>Uttarahalli Manavarthekaval</v>
          </cell>
          <cell r="E313">
            <v>60</v>
          </cell>
          <cell r="F313">
            <v>584</v>
          </cell>
          <cell r="H313"/>
        </row>
        <row r="314">
          <cell r="A314" t="str">
            <v>Sathish</v>
          </cell>
          <cell r="B314" t="str">
            <v>Vemanna Layout</v>
          </cell>
          <cell r="E314">
            <v>99</v>
          </cell>
          <cell r="F314">
            <v>1500</v>
          </cell>
          <cell r="H314"/>
        </row>
        <row r="315">
          <cell r="A315" t="str">
            <v>Sathish</v>
          </cell>
          <cell r="B315" t="str">
            <v>Vemanna Layout</v>
          </cell>
          <cell r="E315">
            <v>90</v>
          </cell>
          <cell r="F315">
            <v>1500</v>
          </cell>
          <cell r="H315"/>
        </row>
        <row r="316">
          <cell r="A316" t="str">
            <v>Meridian Park At The Prestige City</v>
          </cell>
          <cell r="B316" t="str">
            <v>Sarjapur Road</v>
          </cell>
          <cell r="E316">
            <v>175</v>
          </cell>
          <cell r="F316">
            <v>1387</v>
          </cell>
          <cell r="H316">
            <v>3.6</v>
          </cell>
        </row>
        <row r="317">
          <cell r="A317" t="str">
            <v>Ganesh</v>
          </cell>
          <cell r="B317" t="str">
            <v>9Th Block Jayanagar</v>
          </cell>
          <cell r="E317">
            <v>224</v>
          </cell>
          <cell r="F317">
            <v>700</v>
          </cell>
          <cell r="H317"/>
        </row>
        <row r="318">
          <cell r="A318" t="str">
            <v>Vr Royal View</v>
          </cell>
          <cell r="B318" t="str">
            <v>Hoskote</v>
          </cell>
          <cell r="E318">
            <v>135</v>
          </cell>
          <cell r="F318">
            <v>1500</v>
          </cell>
          <cell r="H318"/>
        </row>
        <row r="319">
          <cell r="A319" t="str">
            <v>K Raheja Residency</v>
          </cell>
          <cell r="B319" t="str">
            <v>3Rd Block Koramangala</v>
          </cell>
          <cell r="E319">
            <v>225</v>
          </cell>
          <cell r="F319">
            <v>1200</v>
          </cell>
          <cell r="H319">
            <v>4.2</v>
          </cell>
        </row>
        <row r="320">
          <cell r="A320" t="str">
            <v>Provident Park Square</v>
          </cell>
          <cell r="B320" t="str">
            <v>Kanakapura Road</v>
          </cell>
          <cell r="E320">
            <v>136</v>
          </cell>
          <cell r="F320">
            <v>1400</v>
          </cell>
          <cell r="H320">
            <v>4.0999999999999996</v>
          </cell>
        </row>
        <row r="321">
          <cell r="A321" t="str">
            <v>Prime Nest Apartment</v>
          </cell>
          <cell r="B321" t="str">
            <v>Akshayanagara East</v>
          </cell>
          <cell r="E321">
            <v>65</v>
          </cell>
          <cell r="F321">
            <v>1060</v>
          </cell>
          <cell r="H321"/>
        </row>
        <row r="322">
          <cell r="A322" t="str">
            <v>Sobha Chrysanthemum</v>
          </cell>
          <cell r="B322" t="str">
            <v>Thanisandra</v>
          </cell>
          <cell r="E322">
            <v>160</v>
          </cell>
          <cell r="F322">
            <v>1790</v>
          </cell>
          <cell r="H322"/>
        </row>
        <row r="323">
          <cell r="A323" t="str">
            <v>Nitesh Hyde Park</v>
          </cell>
          <cell r="B323" t="str">
            <v>Hulimavu</v>
          </cell>
          <cell r="E323">
            <v>74.5</v>
          </cell>
          <cell r="F323">
            <v>1021</v>
          </cell>
          <cell r="H323">
            <v>3.8</v>
          </cell>
        </row>
        <row r="324">
          <cell r="A324" t="str">
            <v>Ds Max Stone Hill</v>
          </cell>
          <cell r="B324" t="str">
            <v>Jp Nagar</v>
          </cell>
          <cell r="E324">
            <v>82</v>
          </cell>
          <cell r="F324">
            <v>1450</v>
          </cell>
          <cell r="H324">
            <v>3.8</v>
          </cell>
        </row>
        <row r="325">
          <cell r="A325" t="str">
            <v>Gopalan Atlantis</v>
          </cell>
          <cell r="B325" t="str">
            <v>Dodsworth Layout</v>
          </cell>
          <cell r="E325">
            <v>198</v>
          </cell>
          <cell r="F325">
            <v>1745</v>
          </cell>
          <cell r="H325">
            <v>3.8</v>
          </cell>
        </row>
        <row r="326">
          <cell r="A326" t="str">
            <v>On Request</v>
          </cell>
          <cell r="B326" t="str">
            <v>Richmond Town</v>
          </cell>
          <cell r="E326">
            <v>220</v>
          </cell>
          <cell r="F326">
            <v>1800</v>
          </cell>
          <cell r="H326"/>
        </row>
        <row r="327">
          <cell r="A327" t="str">
            <v>Dlf Westend Heights</v>
          </cell>
          <cell r="B327" t="str">
            <v>Akshaya Nagar</v>
          </cell>
          <cell r="E327">
            <v>165</v>
          </cell>
          <cell r="F327">
            <v>1570</v>
          </cell>
          <cell r="H327">
            <v>4.2</v>
          </cell>
        </row>
        <row r="328">
          <cell r="A328" t="str">
            <v>On Request</v>
          </cell>
          <cell r="B328" t="str">
            <v>Cooke Town</v>
          </cell>
          <cell r="E328">
            <v>150</v>
          </cell>
          <cell r="F328">
            <v>1325</v>
          </cell>
          <cell r="H328"/>
        </row>
        <row r="329">
          <cell r="A329" t="str">
            <v>Century Indus</v>
          </cell>
          <cell r="B329" t="str">
            <v>Rajarajeshwari Nagar</v>
          </cell>
          <cell r="E329">
            <v>102</v>
          </cell>
          <cell r="F329">
            <v>1210</v>
          </cell>
          <cell r="H329">
            <v>3.9</v>
          </cell>
        </row>
        <row r="330">
          <cell r="A330" t="str">
            <v>Trifecta Esplanade</v>
          </cell>
          <cell r="B330" t="str">
            <v>Kumbena Agrahara</v>
          </cell>
          <cell r="E330">
            <v>89</v>
          </cell>
          <cell r="F330">
            <v>1175</v>
          </cell>
          <cell r="H330"/>
        </row>
        <row r="331">
          <cell r="A331" t="str">
            <v>Prestige Finsbury Park</v>
          </cell>
          <cell r="B331" t="str">
            <v>Bagalur</v>
          </cell>
          <cell r="E331">
            <v>65</v>
          </cell>
          <cell r="F331">
            <v>735</v>
          </cell>
          <cell r="H331">
            <v>4.0999999999999996</v>
          </cell>
        </row>
        <row r="332">
          <cell r="A332" t="str">
            <v>Nandi Serenity</v>
          </cell>
          <cell r="B332" t="str">
            <v>Rajarajeshwari Nagar</v>
          </cell>
          <cell r="E332">
            <v>64</v>
          </cell>
          <cell r="F332">
            <v>1100</v>
          </cell>
          <cell r="H332"/>
        </row>
        <row r="333">
          <cell r="A333" t="str">
            <v>Sobha Arena</v>
          </cell>
          <cell r="B333" t="str">
            <v>Talaghattapura</v>
          </cell>
          <cell r="E333">
            <v>180</v>
          </cell>
          <cell r="F333">
            <v>1294</v>
          </cell>
          <cell r="H333">
            <v>4</v>
          </cell>
        </row>
        <row r="334">
          <cell r="A334" t="str">
            <v>Jp Nagar Bangalore South</v>
          </cell>
          <cell r="B334" t="str">
            <v>3Rd Phase Jp Nagar</v>
          </cell>
          <cell r="E334">
            <v>360</v>
          </cell>
          <cell r="F334">
            <v>1200</v>
          </cell>
          <cell r="H334"/>
        </row>
        <row r="335">
          <cell r="A335" t="str">
            <v>Brigade Cornerstone Utopia</v>
          </cell>
          <cell r="B335" t="str">
            <v>Varthur</v>
          </cell>
          <cell r="E335">
            <v>155</v>
          </cell>
          <cell r="F335">
            <v>1097</v>
          </cell>
          <cell r="H335">
            <v>3.8</v>
          </cell>
        </row>
        <row r="336">
          <cell r="A336" t="str">
            <v>Eden Park At The Prestige City</v>
          </cell>
          <cell r="B336" t="str">
            <v>Sarjapur</v>
          </cell>
          <cell r="E336">
            <v>69</v>
          </cell>
          <cell r="F336">
            <v>442</v>
          </cell>
          <cell r="H336"/>
        </row>
        <row r="337">
          <cell r="A337" t="str">
            <v>Prestige City Avalon Park</v>
          </cell>
          <cell r="B337" t="str">
            <v>Sarjapur Road</v>
          </cell>
          <cell r="E337">
            <v>195</v>
          </cell>
          <cell r="F337">
            <v>1536</v>
          </cell>
          <cell r="H337"/>
        </row>
        <row r="338">
          <cell r="A338" t="str">
            <v>Snr Verity</v>
          </cell>
          <cell r="B338" t="str">
            <v>Sarjapur</v>
          </cell>
          <cell r="E338">
            <v>49</v>
          </cell>
          <cell r="F338">
            <v>1045</v>
          </cell>
          <cell r="H338"/>
        </row>
        <row r="339">
          <cell r="A339" t="str">
            <v>Bhartiya City Nikoo Homes 1</v>
          </cell>
          <cell r="B339" t="str">
            <v>Thanisandra</v>
          </cell>
          <cell r="E339">
            <v>187</v>
          </cell>
          <cell r="F339">
            <v>1917</v>
          </cell>
          <cell r="H339"/>
        </row>
        <row r="340">
          <cell r="A340" t="str">
            <v>Shriram Summit</v>
          </cell>
          <cell r="B340" t="str">
            <v>Electronics City Phase 1</v>
          </cell>
          <cell r="E340">
            <v>163</v>
          </cell>
          <cell r="F340">
            <v>1595</v>
          </cell>
          <cell r="H340"/>
        </row>
        <row r="341">
          <cell r="A341" t="str">
            <v>Salarpuria Serenity</v>
          </cell>
          <cell r="B341" t="str">
            <v>Sector 7 Hsr Layout</v>
          </cell>
          <cell r="E341">
            <v>250</v>
          </cell>
          <cell r="F341">
            <v>1533</v>
          </cell>
          <cell r="H341"/>
        </row>
        <row r="342">
          <cell r="A342" t="str">
            <v>Ds Max Stone Hill</v>
          </cell>
          <cell r="B342" t="str">
            <v>Jp Nagar</v>
          </cell>
          <cell r="E342">
            <v>80</v>
          </cell>
          <cell r="F342">
            <v>1450</v>
          </cell>
          <cell r="H342">
            <v>3.8</v>
          </cell>
        </row>
        <row r="343">
          <cell r="A343" t="str">
            <v>Provident Sunworth</v>
          </cell>
          <cell r="B343" t="str">
            <v>Mysore Road</v>
          </cell>
          <cell r="E343">
            <v>48.9</v>
          </cell>
          <cell r="F343">
            <v>920</v>
          </cell>
          <cell r="H343">
            <v>4.3</v>
          </cell>
        </row>
        <row r="344">
          <cell r="A344" t="str">
            <v>Provident Sunworth</v>
          </cell>
          <cell r="B344" t="str">
            <v>Mysore Road</v>
          </cell>
          <cell r="E344">
            <v>59.6</v>
          </cell>
          <cell r="F344">
            <v>1200</v>
          </cell>
          <cell r="H344">
            <v>4.3</v>
          </cell>
        </row>
        <row r="345">
          <cell r="A345" t="str">
            <v>Provident Sunworth</v>
          </cell>
          <cell r="B345" t="str">
            <v>Mysore Road</v>
          </cell>
          <cell r="E345">
            <v>57</v>
          </cell>
          <cell r="F345">
            <v>1082</v>
          </cell>
          <cell r="H345">
            <v>4.3</v>
          </cell>
        </row>
        <row r="346">
          <cell r="A346" t="str">
            <v>Provident Sunworth</v>
          </cell>
          <cell r="B346" t="str">
            <v>Mysore Road</v>
          </cell>
          <cell r="E346">
            <v>56.8</v>
          </cell>
          <cell r="F346">
            <v>1082</v>
          </cell>
          <cell r="H346">
            <v>4.3</v>
          </cell>
        </row>
        <row r="347">
          <cell r="A347" t="str">
            <v>Provident Sunworth</v>
          </cell>
          <cell r="B347" t="str">
            <v>Mysore Road</v>
          </cell>
          <cell r="E347">
            <v>47.3</v>
          </cell>
          <cell r="F347">
            <v>1000</v>
          </cell>
          <cell r="H347">
            <v>4.3</v>
          </cell>
        </row>
        <row r="348">
          <cell r="A348" t="str">
            <v>Provident Sunworth</v>
          </cell>
          <cell r="B348" t="str">
            <v>Mysore Road</v>
          </cell>
          <cell r="E348">
            <v>58.3</v>
          </cell>
          <cell r="F348">
            <v>1082</v>
          </cell>
          <cell r="H348">
            <v>4.3</v>
          </cell>
        </row>
        <row r="349">
          <cell r="A349" t="str">
            <v>Provident Sunworth</v>
          </cell>
          <cell r="B349" t="str">
            <v>Mysore Road</v>
          </cell>
          <cell r="E349">
            <v>56.98</v>
          </cell>
          <cell r="F349">
            <v>1082</v>
          </cell>
          <cell r="H349">
            <v>4.3</v>
          </cell>
        </row>
        <row r="350">
          <cell r="A350" t="str">
            <v>Provident Sunworth</v>
          </cell>
          <cell r="B350" t="str">
            <v>Mysore Road</v>
          </cell>
          <cell r="E350">
            <v>57.65</v>
          </cell>
          <cell r="F350">
            <v>1082</v>
          </cell>
          <cell r="H350">
            <v>4.3</v>
          </cell>
        </row>
        <row r="351">
          <cell r="A351" t="str">
            <v>Provident Sunworth</v>
          </cell>
          <cell r="B351" t="str">
            <v>Mysore Road</v>
          </cell>
          <cell r="E351">
            <v>47.9</v>
          </cell>
          <cell r="F351">
            <v>883</v>
          </cell>
          <cell r="H351">
            <v>4.3</v>
          </cell>
        </row>
        <row r="352">
          <cell r="A352" t="str">
            <v>Provident Sunworth</v>
          </cell>
          <cell r="B352" t="str">
            <v>Mysore Road</v>
          </cell>
          <cell r="E352">
            <v>48.2</v>
          </cell>
          <cell r="F352">
            <v>883</v>
          </cell>
          <cell r="H352">
            <v>4.3</v>
          </cell>
        </row>
        <row r="353">
          <cell r="A353" t="str">
            <v>Prestige Waterford</v>
          </cell>
          <cell r="B353" t="str">
            <v>Whitefield</v>
          </cell>
          <cell r="E353">
            <v>365</v>
          </cell>
          <cell r="F353">
            <v>2027</v>
          </cell>
          <cell r="H353">
            <v>3.9</v>
          </cell>
        </row>
        <row r="354">
          <cell r="A354" t="str">
            <v>Provident Sunworth</v>
          </cell>
          <cell r="B354" t="str">
            <v>Mysore Road</v>
          </cell>
          <cell r="E354">
            <v>46.8</v>
          </cell>
          <cell r="F354">
            <v>883</v>
          </cell>
          <cell r="H354">
            <v>4.3</v>
          </cell>
        </row>
        <row r="355">
          <cell r="A355" t="str">
            <v>Prestige Finsbury Park</v>
          </cell>
          <cell r="B355" t="str">
            <v>Bagalur</v>
          </cell>
          <cell r="E355">
            <v>98.1</v>
          </cell>
          <cell r="F355">
            <v>999</v>
          </cell>
          <cell r="H355">
            <v>4.0999999999999996</v>
          </cell>
        </row>
        <row r="356">
          <cell r="A356" t="str">
            <v>Prestige Waterford</v>
          </cell>
          <cell r="B356" t="str">
            <v>Whitefield</v>
          </cell>
          <cell r="E356">
            <v>435</v>
          </cell>
          <cell r="F356">
            <v>2555</v>
          </cell>
          <cell r="H356">
            <v>3.9</v>
          </cell>
        </row>
        <row r="357">
          <cell r="A357" t="str">
            <v>Vidyapeeta, Banashankari, Bangalore South</v>
          </cell>
          <cell r="B357" t="str">
            <v>Vidyapeeta</v>
          </cell>
          <cell r="E357">
            <v>195</v>
          </cell>
          <cell r="F357">
            <v>2200</v>
          </cell>
          <cell r="H357"/>
        </row>
        <row r="358">
          <cell r="A358" t="str">
            <v>Prestige City Avalon Park</v>
          </cell>
          <cell r="B358" t="str">
            <v>Sarjapur Road</v>
          </cell>
          <cell r="E358">
            <v>110</v>
          </cell>
          <cell r="F358">
            <v>944</v>
          </cell>
          <cell r="H358"/>
        </row>
        <row r="359">
          <cell r="A359" t="str">
            <v>Siri Nakshatra</v>
          </cell>
          <cell r="B359" t="str">
            <v>Ksrtc Layout</v>
          </cell>
          <cell r="E359">
            <v>55</v>
          </cell>
          <cell r="F359">
            <v>1000</v>
          </cell>
          <cell r="H359"/>
        </row>
        <row r="360">
          <cell r="A360" t="str">
            <v>Jade Residency</v>
          </cell>
          <cell r="B360" t="str">
            <v>Kammanahalli</v>
          </cell>
          <cell r="E360">
            <v>123</v>
          </cell>
          <cell r="F360">
            <v>1348</v>
          </cell>
          <cell r="H360"/>
        </row>
        <row r="361">
          <cell r="A361" t="str">
            <v>Roshini Homes, Babusapalaya</v>
          </cell>
          <cell r="B361" t="str">
            <v>Babusapalaya</v>
          </cell>
          <cell r="E361">
            <v>87</v>
          </cell>
          <cell r="F361">
            <v>1450</v>
          </cell>
          <cell r="H361"/>
        </row>
        <row r="362">
          <cell r="A362" t="str">
            <v>Roshini Homes</v>
          </cell>
          <cell r="B362" t="str">
            <v>Hennur Gardens</v>
          </cell>
          <cell r="E362">
            <v>78</v>
          </cell>
          <cell r="F362">
            <v>1301</v>
          </cell>
          <cell r="H362"/>
        </row>
        <row r="363">
          <cell r="A363" t="str">
            <v>Roshini Homes</v>
          </cell>
          <cell r="B363" t="str">
            <v>Hennur Road</v>
          </cell>
          <cell r="E363">
            <v>87</v>
          </cell>
          <cell r="F363">
            <v>1450</v>
          </cell>
          <cell r="H363"/>
        </row>
        <row r="364">
          <cell r="A364" t="str">
            <v>Roshini Homes</v>
          </cell>
          <cell r="B364" t="str">
            <v>Hennur Gardens</v>
          </cell>
          <cell r="E364">
            <v>60</v>
          </cell>
          <cell r="F364">
            <v>1001</v>
          </cell>
          <cell r="H364"/>
        </row>
        <row r="365">
          <cell r="A365" t="str">
            <v>Roshini Homes</v>
          </cell>
          <cell r="B365" t="str">
            <v>Horamavu Banaswadi</v>
          </cell>
          <cell r="E365">
            <v>78</v>
          </cell>
          <cell r="F365">
            <v>1300</v>
          </cell>
          <cell r="H365"/>
        </row>
        <row r="366">
          <cell r="A366" t="str">
            <v>Roshini Homes</v>
          </cell>
          <cell r="B366" t="str">
            <v>Hennur Road</v>
          </cell>
          <cell r="E366">
            <v>66</v>
          </cell>
          <cell r="F366">
            <v>1100</v>
          </cell>
          <cell r="H366"/>
        </row>
        <row r="367">
          <cell r="A367" t="str">
            <v>Roshini Homes</v>
          </cell>
          <cell r="B367" t="str">
            <v>Horamavu Banaswadi</v>
          </cell>
          <cell r="E367">
            <v>60</v>
          </cell>
          <cell r="F367">
            <v>1000</v>
          </cell>
          <cell r="H367"/>
        </row>
        <row r="368">
          <cell r="A368" t="str">
            <v>Slv Central Park</v>
          </cell>
          <cell r="B368" t="str">
            <v>Whitefield</v>
          </cell>
          <cell r="E368">
            <v>100</v>
          </cell>
          <cell r="F368">
            <v>1100</v>
          </cell>
          <cell r="H368">
            <v>3.5</v>
          </cell>
        </row>
        <row r="369">
          <cell r="A369" t="str">
            <v>Sri Nandana Galaxy</v>
          </cell>
          <cell r="B369" t="str">
            <v>Sarjapur Road</v>
          </cell>
          <cell r="E369">
            <v>70</v>
          </cell>
          <cell r="F369">
            <v>1040</v>
          </cell>
          <cell r="H369"/>
        </row>
        <row r="370">
          <cell r="A370" t="str">
            <v>Nandanaroyal</v>
          </cell>
          <cell r="B370" t="str">
            <v>Maragondanahalli</v>
          </cell>
          <cell r="E370">
            <v>61.95</v>
          </cell>
          <cell r="F370">
            <v>1400</v>
          </cell>
          <cell r="H370"/>
        </row>
        <row r="371">
          <cell r="A371" t="str">
            <v>Navami Landmaark</v>
          </cell>
          <cell r="B371" t="str">
            <v>Rajarajeshwari Nagar</v>
          </cell>
          <cell r="E371">
            <v>130</v>
          </cell>
          <cell r="F371">
            <v>1329</v>
          </cell>
          <cell r="H371">
            <v>3.8</v>
          </cell>
        </row>
        <row r="372">
          <cell r="A372" t="str">
            <v>Parkside At Brigade Orchards</v>
          </cell>
          <cell r="B372" t="str">
            <v>Devanahalli</v>
          </cell>
          <cell r="E372">
            <v>75</v>
          </cell>
          <cell r="F372">
            <v>1170</v>
          </cell>
          <cell r="H372"/>
        </row>
        <row r="373">
          <cell r="A373" t="str">
            <v>On Request</v>
          </cell>
          <cell r="B373" t="str">
            <v>Cambridge Layout</v>
          </cell>
          <cell r="E373">
            <v>245</v>
          </cell>
          <cell r="F373">
            <v>1950</v>
          </cell>
          <cell r="H373"/>
        </row>
        <row r="374">
          <cell r="A374" t="str">
            <v>On Request</v>
          </cell>
          <cell r="B374" t="str">
            <v>Indira Nagar</v>
          </cell>
          <cell r="E374">
            <v>350</v>
          </cell>
          <cell r="F374">
            <v>1725</v>
          </cell>
          <cell r="H374"/>
        </row>
        <row r="375">
          <cell r="A375" t="str">
            <v>On Request</v>
          </cell>
          <cell r="B375" t="str">
            <v>Indira Nagar</v>
          </cell>
          <cell r="E375">
            <v>330</v>
          </cell>
          <cell r="F375">
            <v>2200</v>
          </cell>
          <cell r="H375"/>
        </row>
        <row r="376">
          <cell r="A376" t="str">
            <v>On Request</v>
          </cell>
          <cell r="B376" t="str">
            <v>Cooke Town</v>
          </cell>
          <cell r="E376">
            <v>220</v>
          </cell>
          <cell r="F376">
            <v>1950</v>
          </cell>
          <cell r="H376"/>
        </row>
        <row r="377">
          <cell r="A377" t="str">
            <v>On Request</v>
          </cell>
          <cell r="B377" t="str">
            <v>Frazer Town</v>
          </cell>
          <cell r="E377">
            <v>120</v>
          </cell>
          <cell r="F377">
            <v>1100</v>
          </cell>
          <cell r="H377"/>
        </row>
        <row r="378">
          <cell r="A378" t="str">
            <v>Prestige Finsbury Park</v>
          </cell>
          <cell r="B378" t="str">
            <v>Bagalur</v>
          </cell>
          <cell r="E378">
            <v>148</v>
          </cell>
          <cell r="F378">
            <v>1431</v>
          </cell>
          <cell r="H378">
            <v>4.0999999999999996</v>
          </cell>
        </row>
        <row r="379">
          <cell r="A379" t="str">
            <v>Prestige Jindal City</v>
          </cell>
          <cell r="B379" t="str">
            <v>Tumkur Road</v>
          </cell>
          <cell r="E379">
            <v>125</v>
          </cell>
          <cell r="F379">
            <v>1058</v>
          </cell>
          <cell r="H379">
            <v>4.0999999999999996</v>
          </cell>
        </row>
        <row r="380">
          <cell r="A380" t="str">
            <v>Sai Vajra</v>
          </cell>
          <cell r="B380" t="str">
            <v>Vidyapeeta</v>
          </cell>
          <cell r="E380">
            <v>130</v>
          </cell>
          <cell r="F380">
            <v>1600</v>
          </cell>
          <cell r="H380"/>
        </row>
        <row r="381">
          <cell r="A381" t="str">
            <v>Provident Park Square</v>
          </cell>
          <cell r="B381" t="str">
            <v>Kanakapura Road</v>
          </cell>
          <cell r="E381">
            <v>53</v>
          </cell>
          <cell r="F381">
            <v>575</v>
          </cell>
          <cell r="H381">
            <v>4.0999999999999996</v>
          </cell>
        </row>
        <row r="382">
          <cell r="A382" t="str">
            <v>Vaishnavi Serene</v>
          </cell>
          <cell r="B382" t="str">
            <v>Yelahanka</v>
          </cell>
          <cell r="E382">
            <v>115</v>
          </cell>
          <cell r="F382">
            <v>1118</v>
          </cell>
          <cell r="H382">
            <v>3.5</v>
          </cell>
        </row>
        <row r="383">
          <cell r="A383" t="str">
            <v>Gm Global Techies Town</v>
          </cell>
          <cell r="B383" t="str">
            <v>Electronic City</v>
          </cell>
          <cell r="E383">
            <v>115</v>
          </cell>
          <cell r="F383">
            <v>1500</v>
          </cell>
          <cell r="H383">
            <v>3.9</v>
          </cell>
        </row>
        <row r="384">
          <cell r="A384" t="str">
            <v>Assetz Sun And Sanctum</v>
          </cell>
          <cell r="B384" t="str">
            <v>Battarahalli</v>
          </cell>
          <cell r="E384">
            <v>228</v>
          </cell>
          <cell r="F384">
            <v>1708</v>
          </cell>
          <cell r="H384"/>
        </row>
        <row r="385">
          <cell r="A385" t="str">
            <v>Sattva Misty Charm</v>
          </cell>
          <cell r="B385" t="str">
            <v>Kanakapura Road</v>
          </cell>
          <cell r="E385">
            <v>99</v>
          </cell>
          <cell r="F385">
            <v>974</v>
          </cell>
          <cell r="H385">
            <v>4</v>
          </cell>
        </row>
        <row r="386">
          <cell r="A386" t="str">
            <v>Srr</v>
          </cell>
          <cell r="B386" t="str">
            <v>B Narayanapura</v>
          </cell>
          <cell r="E386">
            <v>79</v>
          </cell>
          <cell r="F386">
            <v>1185</v>
          </cell>
          <cell r="H386"/>
        </row>
        <row r="387">
          <cell r="A387" t="str">
            <v>Provident Park Square</v>
          </cell>
          <cell r="B387" t="str">
            <v>Kanakapura Road</v>
          </cell>
          <cell r="E387">
            <v>96</v>
          </cell>
          <cell r="F387">
            <v>1108</v>
          </cell>
          <cell r="H387">
            <v>4.0999999999999996</v>
          </cell>
        </row>
        <row r="388">
          <cell r="A388" t="str">
            <v>Doddaballapur, Doddaballapur Road, Bangalore North</v>
          </cell>
          <cell r="B388" t="str">
            <v>Doddaballapur</v>
          </cell>
          <cell r="E388">
            <v>113</v>
          </cell>
          <cell r="F388">
            <v>2100</v>
          </cell>
          <cell r="H388"/>
        </row>
        <row r="389">
          <cell r="A389" t="str">
            <v>Prestige Primrose Hills</v>
          </cell>
          <cell r="B389" t="str">
            <v>Uttarahalli Manavarthekaval</v>
          </cell>
          <cell r="E389">
            <v>100</v>
          </cell>
          <cell r="F389">
            <v>988</v>
          </cell>
          <cell r="H389"/>
        </row>
        <row r="390">
          <cell r="A390" t="str">
            <v>Salarpuria Silver Woods</v>
          </cell>
          <cell r="B390" t="str">
            <v>Nagavarapalya</v>
          </cell>
          <cell r="E390">
            <v>255</v>
          </cell>
          <cell r="F390">
            <v>1813</v>
          </cell>
          <cell r="H390"/>
        </row>
        <row r="391">
          <cell r="A391" t="str">
            <v>Samruddhi</v>
          </cell>
          <cell r="B391" t="str">
            <v>Uttarahalli</v>
          </cell>
          <cell r="E391">
            <v>95</v>
          </cell>
          <cell r="F391">
            <v>1320</v>
          </cell>
          <cell r="H391"/>
        </row>
        <row r="392">
          <cell r="A392" t="str">
            <v>Bhartiya City Nikoo Homes 1</v>
          </cell>
          <cell r="B392" t="str">
            <v>Thanisandra</v>
          </cell>
          <cell r="E392">
            <v>280</v>
          </cell>
          <cell r="F392">
            <v>2800</v>
          </cell>
          <cell r="H392"/>
        </row>
      </sheetData>
      <sheetData sheetId="3"/>
      <sheetData sheetId="4"/>
      <sheetData sheetId="5"/>
      <sheetData sheetId="6">
        <row r="1">
          <cell r="E1"/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opLeftCell="B1" zoomScale="70" zoomScaleNormal="70" workbookViewId="0">
      <selection activeCell="A22" sqref="A17:H22"/>
    </sheetView>
  </sheetViews>
  <sheetFormatPr defaultColWidth="8.6328125" defaultRowHeight="14.5" x14ac:dyDescent="0.35"/>
  <cols>
    <col min="1" max="8" width="16" customWidth="1"/>
  </cols>
  <sheetData>
    <row r="1" spans="1:8" ht="39.75" customHeight="1" x14ac:dyDescent="0.35">
      <c r="A1" s="37" t="s">
        <v>0</v>
      </c>
      <c r="B1" s="37"/>
      <c r="C1" s="37"/>
      <c r="D1" s="37"/>
      <c r="E1" s="37"/>
      <c r="F1" s="37"/>
      <c r="G1" s="37"/>
      <c r="H1" s="37"/>
    </row>
    <row r="2" spans="1:8" ht="9.75" customHeight="1" x14ac:dyDescent="0.35">
      <c r="A2" s="37"/>
      <c r="B2" s="37"/>
      <c r="C2" s="37"/>
      <c r="D2" s="37"/>
      <c r="E2" s="37"/>
      <c r="F2" s="37"/>
      <c r="G2" s="37"/>
      <c r="H2" s="37"/>
    </row>
    <row r="3" spans="1:8" ht="15" customHeight="1" x14ac:dyDescent="0.35">
      <c r="A3" s="38" t="s">
        <v>1</v>
      </c>
      <c r="B3" s="38"/>
      <c r="C3" s="38"/>
      <c r="D3" s="38"/>
      <c r="E3" s="38"/>
      <c r="F3" s="38"/>
      <c r="G3" s="38"/>
      <c r="H3" s="38"/>
    </row>
    <row r="5" spans="1:8" ht="18" customHeight="1" x14ac:dyDescent="0.35">
      <c r="A5" s="1" t="s">
        <v>2</v>
      </c>
      <c r="B5" s="2" t="s">
        <v>3</v>
      </c>
      <c r="C5" s="3" t="s">
        <v>4</v>
      </c>
      <c r="D5" s="4" t="s">
        <v>5</v>
      </c>
      <c r="E5" s="1" t="s">
        <v>6</v>
      </c>
      <c r="F5" s="2" t="s">
        <v>7</v>
      </c>
      <c r="G5" s="3" t="s">
        <v>8</v>
      </c>
      <c r="H5" s="4" t="s">
        <v>9</v>
      </c>
    </row>
    <row r="6" spans="1:8" ht="27.75" customHeight="1" x14ac:dyDescent="0.35">
      <c r="A6" s="5">
        <f>COUNTA('[1]✅ Cleaned Data'!A:A)-1</f>
        <v>390</v>
      </c>
      <c r="B6" s="32">
        <f>AVERAGE('[1]✅ Cleaned Data'!E:E)</f>
        <v>140.14943444730079</v>
      </c>
      <c r="C6" s="31">
        <f>AVERAGE('[1]✅ Cleaned Data'!F:F)</f>
        <v>1380.3907455012854</v>
      </c>
      <c r="D6" s="30">
        <f>AVERAGE('[1]✅ Cleaned Data'!H:H)</f>
        <v>3.9986666666666664</v>
      </c>
      <c r="E6" s="5" t="str">
        <f>INDEX(A11:A15, MATCH(MAX(B11:B15), B11:B15, 0))</f>
        <v>3 BHK</v>
      </c>
      <c r="F6" s="6" t="str">
        <f>INDEX(E11:E15, MATCH(MAX(H11:H15), H11:H15, 0))</f>
        <v>Indira Nagar</v>
      </c>
      <c r="G6" s="7" t="str">
        <f>"₹"&amp;MIN('[1]✅ Cleaned Data'!E:E)&amp;"L - ₹"&amp;MAX('[1]✅ Cleaned Data'!E:E)&amp;"L"</f>
        <v>₹23L - ₹490L</v>
      </c>
      <c r="H6" s="8">
        <f>COUNTA(_xlfn.UNIQUE('[1]✅ Cleaned Data'!B:B))</f>
        <v>129</v>
      </c>
    </row>
    <row r="7" spans="1:8" ht="7.5" customHeight="1" x14ac:dyDescent="0.35">
      <c r="A7" s="9"/>
      <c r="B7" s="10"/>
      <c r="C7" s="11"/>
      <c r="D7" s="12"/>
      <c r="E7" s="9"/>
      <c r="F7" s="10"/>
      <c r="G7" s="11"/>
      <c r="H7" s="12"/>
    </row>
    <row r="9" spans="1:8" ht="15" customHeight="1" x14ac:dyDescent="0.35">
      <c r="A9" s="39" t="s">
        <v>12</v>
      </c>
      <c r="B9" s="39"/>
      <c r="C9" s="39"/>
      <c r="E9" s="40" t="s">
        <v>13</v>
      </c>
      <c r="F9" s="40"/>
      <c r="G9" s="40"/>
      <c r="H9" s="40"/>
    </row>
    <row r="10" spans="1:8" x14ac:dyDescent="0.35">
      <c r="A10" s="13" t="s">
        <v>14</v>
      </c>
      <c r="B10" s="13" t="s">
        <v>15</v>
      </c>
      <c r="C10" s="13" t="s">
        <v>16</v>
      </c>
      <c r="E10" s="13" t="s">
        <v>17</v>
      </c>
      <c r="F10" s="13" t="s">
        <v>15</v>
      </c>
      <c r="G10" s="13" t="s">
        <v>16</v>
      </c>
      <c r="H10" s="13" t="s">
        <v>18</v>
      </c>
    </row>
    <row r="11" spans="1:8" x14ac:dyDescent="0.35">
      <c r="A11" s="14" t="s">
        <v>19</v>
      </c>
      <c r="B11" s="14">
        <v>17</v>
      </c>
      <c r="C11" s="14">
        <v>61.8</v>
      </c>
      <c r="E11" s="14" t="s">
        <v>20</v>
      </c>
      <c r="F11" s="14">
        <v>3</v>
      </c>
      <c r="G11" s="14">
        <v>346.7</v>
      </c>
      <c r="H11" s="14">
        <v>18430</v>
      </c>
    </row>
    <row r="12" spans="1:8" x14ac:dyDescent="0.35">
      <c r="A12" s="15" t="s">
        <v>21</v>
      </c>
      <c r="B12" s="15">
        <v>155</v>
      </c>
      <c r="C12" s="15">
        <v>92.5</v>
      </c>
      <c r="E12" s="15" t="s">
        <v>22</v>
      </c>
      <c r="F12" s="15">
        <v>5</v>
      </c>
      <c r="G12" s="15">
        <v>204.4</v>
      </c>
      <c r="H12" s="15">
        <v>16337</v>
      </c>
    </row>
    <row r="13" spans="1:8" x14ac:dyDescent="0.35">
      <c r="A13" s="14" t="s">
        <v>10</v>
      </c>
      <c r="B13" s="14">
        <v>198</v>
      </c>
      <c r="C13" s="14">
        <v>166.3</v>
      </c>
      <c r="E13" s="14" t="s">
        <v>23</v>
      </c>
      <c r="F13" s="14">
        <v>7</v>
      </c>
      <c r="G13" s="14">
        <v>226.9</v>
      </c>
      <c r="H13" s="14">
        <v>14521</v>
      </c>
    </row>
    <row r="14" spans="1:8" x14ac:dyDescent="0.35">
      <c r="A14" s="15" t="s">
        <v>24</v>
      </c>
      <c r="B14" s="15">
        <v>14</v>
      </c>
      <c r="C14" s="15">
        <v>332.6</v>
      </c>
      <c r="E14" s="15" t="s">
        <v>25</v>
      </c>
      <c r="F14" s="15">
        <v>4</v>
      </c>
      <c r="G14" s="15">
        <v>217.5</v>
      </c>
      <c r="H14" s="15">
        <v>14493</v>
      </c>
    </row>
    <row r="15" spans="1:8" x14ac:dyDescent="0.35">
      <c r="A15" s="14" t="s">
        <v>26</v>
      </c>
      <c r="B15" s="14">
        <v>5</v>
      </c>
      <c r="C15" s="14">
        <v>312</v>
      </c>
      <c r="E15" s="14" t="s">
        <v>11</v>
      </c>
      <c r="F15" s="14">
        <v>16</v>
      </c>
      <c r="G15" s="14">
        <v>267.89999999999998</v>
      </c>
      <c r="H15" s="14">
        <v>14408</v>
      </c>
    </row>
    <row r="17" spans="1:8" ht="15" customHeight="1" x14ac:dyDescent="0.35">
      <c r="A17" s="39" t="s">
        <v>27</v>
      </c>
      <c r="B17" s="39"/>
      <c r="C17" s="39"/>
      <c r="D17" s="39"/>
      <c r="E17" s="39"/>
      <c r="F17" s="39"/>
      <c r="G17" s="39"/>
      <c r="H17" s="39"/>
    </row>
    <row r="18" spans="1:8" ht="21.75" customHeight="1" x14ac:dyDescent="0.35">
      <c r="A18" s="35" t="s">
        <v>28</v>
      </c>
      <c r="B18" s="35"/>
      <c r="C18" s="35"/>
      <c r="D18" s="35"/>
      <c r="E18" s="35"/>
      <c r="F18" s="35"/>
      <c r="G18" s="35"/>
      <c r="H18" s="35"/>
    </row>
    <row r="19" spans="1:8" ht="21.75" customHeight="1" x14ac:dyDescent="0.35">
      <c r="A19" s="36" t="s">
        <v>29</v>
      </c>
      <c r="B19" s="36"/>
      <c r="C19" s="36"/>
      <c r="D19" s="36"/>
      <c r="E19" s="36"/>
      <c r="F19" s="36"/>
      <c r="G19" s="36"/>
      <c r="H19" s="36"/>
    </row>
    <row r="20" spans="1:8" ht="21.75" customHeight="1" x14ac:dyDescent="0.35">
      <c r="A20" s="35" t="s">
        <v>30</v>
      </c>
      <c r="B20" s="35"/>
      <c r="C20" s="35"/>
      <c r="D20" s="35"/>
      <c r="E20" s="35"/>
      <c r="F20" s="35"/>
      <c r="G20" s="35"/>
      <c r="H20" s="35"/>
    </row>
    <row r="21" spans="1:8" ht="21.75" customHeight="1" x14ac:dyDescent="0.35">
      <c r="A21" s="35" t="s">
        <v>1150</v>
      </c>
      <c r="B21" s="35"/>
      <c r="C21" s="35"/>
      <c r="D21" s="35"/>
      <c r="E21" s="35"/>
      <c r="F21" s="35"/>
      <c r="G21" s="35"/>
      <c r="H21" s="35"/>
    </row>
    <row r="22" spans="1:8" ht="21.75" customHeight="1" x14ac:dyDescent="0.35">
      <c r="A22" s="36" t="s">
        <v>31</v>
      </c>
      <c r="B22" s="36"/>
      <c r="C22" s="36"/>
      <c r="D22" s="36"/>
      <c r="E22" s="36"/>
      <c r="F22" s="36"/>
      <c r="G22" s="36"/>
      <c r="H22" s="36"/>
    </row>
    <row r="23" spans="1:8" ht="21.75" customHeight="1" x14ac:dyDescent="0.35">
      <c r="A23" s="35" t="s">
        <v>32</v>
      </c>
      <c r="B23" s="35"/>
      <c r="C23" s="35"/>
      <c r="D23" s="35"/>
      <c r="E23" s="35"/>
      <c r="F23" s="35"/>
      <c r="G23" s="35"/>
      <c r="H23" s="35"/>
    </row>
  </sheetData>
  <mergeCells count="11">
    <mergeCell ref="A1:H2"/>
    <mergeCell ref="A3:H3"/>
    <mergeCell ref="A9:C9"/>
    <mergeCell ref="E9:H9"/>
    <mergeCell ref="A17:H17"/>
    <mergeCell ref="A18:H18"/>
    <mergeCell ref="A19:H19"/>
    <mergeCell ref="A20:H20"/>
    <mergeCell ref="A22:H22"/>
    <mergeCell ref="A23:H23"/>
    <mergeCell ref="A21:H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94"/>
  <sheetViews>
    <sheetView showGridLines="0" topLeftCell="B1" zoomScaleNormal="100" workbookViewId="0">
      <selection activeCell="F8" sqref="F8"/>
    </sheetView>
  </sheetViews>
  <sheetFormatPr defaultColWidth="8.6328125" defaultRowHeight="14.5" x14ac:dyDescent="0.35"/>
  <cols>
    <col min="1" max="1" width="28" customWidth="1"/>
    <col min="2" max="2" width="22" customWidth="1"/>
    <col min="3" max="3" width="10" customWidth="1"/>
    <col min="4" max="4" width="8" customWidth="1"/>
    <col min="5" max="6" width="12" customWidth="1"/>
    <col min="7" max="7" width="14" customWidth="1"/>
    <col min="8" max="8" width="10" customWidth="1"/>
  </cols>
  <sheetData>
    <row r="1" spans="1:8" ht="34.5" customHeight="1" x14ac:dyDescent="0.35">
      <c r="A1" s="33" t="s">
        <v>1143</v>
      </c>
      <c r="B1" s="33"/>
      <c r="C1" s="33"/>
      <c r="D1" s="33"/>
      <c r="E1" s="33"/>
      <c r="F1" s="33"/>
    </row>
    <row r="2" spans="1:8" x14ac:dyDescent="0.35">
      <c r="A2" s="33"/>
      <c r="B2" s="33"/>
      <c r="C2" s="33"/>
      <c r="D2" s="33"/>
      <c r="E2" s="33"/>
      <c r="F2" s="33"/>
    </row>
    <row r="3" spans="1:8" ht="23.9" customHeight="1" x14ac:dyDescent="0.35">
      <c r="A3" s="34" t="s">
        <v>1144</v>
      </c>
      <c r="B3" s="34"/>
      <c r="C3" s="34"/>
      <c r="D3" s="34"/>
      <c r="E3" s="34"/>
      <c r="F3" s="34"/>
    </row>
    <row r="5" spans="1:8" ht="28" x14ac:dyDescent="0.35">
      <c r="A5" s="19" t="s">
        <v>865</v>
      </c>
      <c r="B5" s="19" t="s">
        <v>17</v>
      </c>
      <c r="C5" s="19" t="s">
        <v>866</v>
      </c>
      <c r="D5" s="19" t="s">
        <v>14</v>
      </c>
      <c r="E5" s="19" t="s">
        <v>1145</v>
      </c>
      <c r="F5" s="19" t="s">
        <v>868</v>
      </c>
      <c r="G5" s="19" t="s">
        <v>18</v>
      </c>
      <c r="H5" s="19" t="s">
        <v>1146</v>
      </c>
    </row>
    <row r="6" spans="1:8" x14ac:dyDescent="0.35">
      <c r="A6" s="22" t="s">
        <v>1058</v>
      </c>
      <c r="B6" s="22" t="s">
        <v>907</v>
      </c>
      <c r="C6" s="23" t="s">
        <v>872</v>
      </c>
      <c r="D6" s="23">
        <v>2</v>
      </c>
      <c r="E6" s="23">
        <v>35</v>
      </c>
      <c r="F6" s="23">
        <v>900</v>
      </c>
      <c r="G6" s="23">
        <v>3889</v>
      </c>
      <c r="H6" s="23">
        <v>3.3</v>
      </c>
    </row>
    <row r="7" spans="1:8" x14ac:dyDescent="0.35">
      <c r="A7" s="24" t="s">
        <v>1028</v>
      </c>
      <c r="B7" s="24" t="s">
        <v>990</v>
      </c>
      <c r="C7" s="25" t="s">
        <v>872</v>
      </c>
      <c r="D7" s="25">
        <v>3</v>
      </c>
      <c r="E7" s="25">
        <v>55</v>
      </c>
      <c r="F7" s="25">
        <v>1395</v>
      </c>
      <c r="G7" s="25">
        <v>3943</v>
      </c>
      <c r="H7" s="25">
        <v>3.8</v>
      </c>
    </row>
    <row r="8" spans="1:8" x14ac:dyDescent="0.35">
      <c r="A8" s="22" t="s">
        <v>989</v>
      </c>
      <c r="B8" s="22" t="s">
        <v>990</v>
      </c>
      <c r="C8" s="23" t="s">
        <v>872</v>
      </c>
      <c r="D8" s="23">
        <v>2</v>
      </c>
      <c r="E8" s="23">
        <v>43.5</v>
      </c>
      <c r="F8" s="23">
        <v>1089</v>
      </c>
      <c r="G8" s="23">
        <v>3994</v>
      </c>
      <c r="H8" s="23">
        <v>3.8</v>
      </c>
    </row>
    <row r="9" spans="1:8" x14ac:dyDescent="0.35">
      <c r="A9" s="24" t="s">
        <v>1002</v>
      </c>
      <c r="B9" s="24" t="s">
        <v>990</v>
      </c>
      <c r="C9" s="25" t="s">
        <v>872</v>
      </c>
      <c r="D9" s="25">
        <v>3</v>
      </c>
      <c r="E9" s="25">
        <v>52</v>
      </c>
      <c r="F9" s="25">
        <v>1270</v>
      </c>
      <c r="G9" s="25">
        <v>4094</v>
      </c>
      <c r="H9" s="25"/>
    </row>
    <row r="10" spans="1:8" x14ac:dyDescent="0.35">
      <c r="A10" s="22" t="s">
        <v>340</v>
      </c>
      <c r="B10" s="22" t="s">
        <v>955</v>
      </c>
      <c r="C10" s="23" t="s">
        <v>872</v>
      </c>
      <c r="D10" s="23">
        <v>3</v>
      </c>
      <c r="E10" s="23">
        <v>61</v>
      </c>
      <c r="F10" s="23">
        <v>1425</v>
      </c>
      <c r="G10" s="23">
        <v>4281</v>
      </c>
      <c r="H10" s="23"/>
    </row>
    <row r="11" spans="1:8" x14ac:dyDescent="0.35">
      <c r="A11" s="24" t="s">
        <v>340</v>
      </c>
      <c r="B11" s="24" t="s">
        <v>955</v>
      </c>
      <c r="C11" s="25" t="s">
        <v>872</v>
      </c>
      <c r="D11" s="25">
        <v>3</v>
      </c>
      <c r="E11" s="25">
        <v>61</v>
      </c>
      <c r="F11" s="25">
        <v>1425</v>
      </c>
      <c r="G11" s="25">
        <v>4281</v>
      </c>
      <c r="H11" s="25"/>
    </row>
    <row r="12" spans="1:8" x14ac:dyDescent="0.35">
      <c r="A12" s="22" t="s">
        <v>340</v>
      </c>
      <c r="B12" s="22" t="s">
        <v>956</v>
      </c>
      <c r="C12" s="23" t="s">
        <v>872</v>
      </c>
      <c r="D12" s="23">
        <v>3</v>
      </c>
      <c r="E12" s="23">
        <v>60</v>
      </c>
      <c r="F12" s="23">
        <v>1400</v>
      </c>
      <c r="G12" s="23">
        <v>4286</v>
      </c>
      <c r="H12" s="23"/>
    </row>
    <row r="13" spans="1:8" x14ac:dyDescent="0.35">
      <c r="A13" s="24" t="s">
        <v>340</v>
      </c>
      <c r="B13" s="24" t="s">
        <v>955</v>
      </c>
      <c r="C13" s="25" t="s">
        <v>872</v>
      </c>
      <c r="D13" s="25">
        <v>3</v>
      </c>
      <c r="E13" s="25">
        <v>60</v>
      </c>
      <c r="F13" s="25">
        <v>1400</v>
      </c>
      <c r="G13" s="25">
        <v>4286</v>
      </c>
      <c r="H13" s="25"/>
    </row>
    <row r="14" spans="1:8" x14ac:dyDescent="0.35">
      <c r="A14" s="22" t="s">
        <v>340</v>
      </c>
      <c r="B14" s="22" t="s">
        <v>955</v>
      </c>
      <c r="C14" s="23" t="s">
        <v>872</v>
      </c>
      <c r="D14" s="23">
        <v>3</v>
      </c>
      <c r="E14" s="23">
        <v>60</v>
      </c>
      <c r="F14" s="23">
        <v>1400</v>
      </c>
      <c r="G14" s="23">
        <v>4286</v>
      </c>
      <c r="H14" s="23"/>
    </row>
    <row r="15" spans="1:8" x14ac:dyDescent="0.35">
      <c r="A15" s="24" t="s">
        <v>416</v>
      </c>
      <c r="B15" s="24" t="s">
        <v>882</v>
      </c>
      <c r="C15" s="25" t="s">
        <v>872</v>
      </c>
      <c r="D15" s="25">
        <v>3</v>
      </c>
      <c r="E15" s="25">
        <v>74</v>
      </c>
      <c r="F15" s="25">
        <v>1680</v>
      </c>
      <c r="G15" s="25">
        <v>4405</v>
      </c>
      <c r="H15" s="25"/>
    </row>
    <row r="16" spans="1:8" x14ac:dyDescent="0.35">
      <c r="A16" s="22" t="s">
        <v>416</v>
      </c>
      <c r="B16" s="22" t="s">
        <v>993</v>
      </c>
      <c r="C16" s="23" t="s">
        <v>872</v>
      </c>
      <c r="D16" s="23">
        <v>3</v>
      </c>
      <c r="E16" s="23">
        <v>70.98</v>
      </c>
      <c r="F16" s="23">
        <v>1610</v>
      </c>
      <c r="G16" s="23">
        <v>4409</v>
      </c>
      <c r="H16" s="23">
        <v>3.9</v>
      </c>
    </row>
    <row r="17" spans="1:8" x14ac:dyDescent="0.35">
      <c r="A17" s="24" t="s">
        <v>1088</v>
      </c>
      <c r="B17" s="24" t="s">
        <v>1089</v>
      </c>
      <c r="C17" s="25" t="s">
        <v>872</v>
      </c>
      <c r="D17" s="25">
        <v>3</v>
      </c>
      <c r="E17" s="25">
        <v>61.95</v>
      </c>
      <c r="F17" s="25">
        <v>1400</v>
      </c>
      <c r="G17" s="25">
        <v>4425</v>
      </c>
      <c r="H17" s="25"/>
    </row>
    <row r="18" spans="1:8" x14ac:dyDescent="0.35">
      <c r="A18" s="22" t="s">
        <v>690</v>
      </c>
      <c r="B18" s="22" t="s">
        <v>1046</v>
      </c>
      <c r="C18" s="23" t="s">
        <v>872</v>
      </c>
      <c r="D18" s="23">
        <v>2</v>
      </c>
      <c r="E18" s="23">
        <v>54.42</v>
      </c>
      <c r="F18" s="23">
        <v>1225</v>
      </c>
      <c r="G18" s="23">
        <v>4442</v>
      </c>
      <c r="H18" s="23"/>
    </row>
    <row r="19" spans="1:8" x14ac:dyDescent="0.35">
      <c r="A19" s="24" t="s">
        <v>416</v>
      </c>
      <c r="B19" s="24" t="s">
        <v>993</v>
      </c>
      <c r="C19" s="25" t="s">
        <v>872</v>
      </c>
      <c r="D19" s="25">
        <v>2</v>
      </c>
      <c r="E19" s="25">
        <v>54.42</v>
      </c>
      <c r="F19" s="25">
        <v>1225</v>
      </c>
      <c r="G19" s="25">
        <v>4442</v>
      </c>
      <c r="H19" s="25">
        <v>3.9</v>
      </c>
    </row>
    <row r="20" spans="1:8" x14ac:dyDescent="0.35">
      <c r="A20" s="22" t="s">
        <v>416</v>
      </c>
      <c r="B20" s="22" t="s">
        <v>993</v>
      </c>
      <c r="C20" s="23" t="s">
        <v>872</v>
      </c>
      <c r="D20" s="23">
        <v>2</v>
      </c>
      <c r="E20" s="23">
        <v>52.71</v>
      </c>
      <c r="F20" s="23">
        <v>1185</v>
      </c>
      <c r="G20" s="23">
        <v>4448</v>
      </c>
      <c r="H20" s="23"/>
    </row>
    <row r="21" spans="1:8" x14ac:dyDescent="0.35">
      <c r="A21" s="24" t="s">
        <v>903</v>
      </c>
      <c r="B21" s="24" t="s">
        <v>904</v>
      </c>
      <c r="C21" s="25" t="s">
        <v>872</v>
      </c>
      <c r="D21" s="25">
        <v>2</v>
      </c>
      <c r="E21" s="25">
        <v>53.5</v>
      </c>
      <c r="F21" s="25">
        <v>1185</v>
      </c>
      <c r="G21" s="25">
        <v>4515</v>
      </c>
      <c r="H21" s="25"/>
    </row>
    <row r="22" spans="1:8" x14ac:dyDescent="0.35">
      <c r="A22" s="22" t="s">
        <v>1031</v>
      </c>
      <c r="B22" s="22" t="s">
        <v>956</v>
      </c>
      <c r="C22" s="23" t="s">
        <v>872</v>
      </c>
      <c r="D22" s="23">
        <v>2</v>
      </c>
      <c r="E22" s="23">
        <v>47.56</v>
      </c>
      <c r="F22" s="23">
        <v>1044</v>
      </c>
      <c r="G22" s="23">
        <v>4556</v>
      </c>
      <c r="H22" s="23"/>
    </row>
    <row r="23" spans="1:8" x14ac:dyDescent="0.35">
      <c r="A23" s="24" t="s">
        <v>1000</v>
      </c>
      <c r="B23" s="24" t="s">
        <v>1001</v>
      </c>
      <c r="C23" s="25" t="s">
        <v>872</v>
      </c>
      <c r="D23" s="25">
        <v>1</v>
      </c>
      <c r="E23" s="25">
        <v>23</v>
      </c>
      <c r="F23" s="25">
        <v>500</v>
      </c>
      <c r="G23" s="25">
        <v>4600</v>
      </c>
      <c r="H23" s="25">
        <v>4</v>
      </c>
    </row>
    <row r="24" spans="1:8" x14ac:dyDescent="0.35">
      <c r="A24" s="22" t="s">
        <v>936</v>
      </c>
      <c r="B24" s="22" t="s">
        <v>956</v>
      </c>
      <c r="C24" s="23" t="s">
        <v>872</v>
      </c>
      <c r="D24" s="23">
        <v>2</v>
      </c>
      <c r="E24" s="23">
        <v>46.9</v>
      </c>
      <c r="F24" s="23">
        <v>1015</v>
      </c>
      <c r="G24" s="23">
        <v>4621</v>
      </c>
      <c r="H24" s="23"/>
    </row>
    <row r="25" spans="1:8" x14ac:dyDescent="0.35">
      <c r="A25" s="24" t="s">
        <v>936</v>
      </c>
      <c r="B25" s="24" t="s">
        <v>937</v>
      </c>
      <c r="C25" s="25" t="s">
        <v>872</v>
      </c>
      <c r="D25" s="25">
        <v>3</v>
      </c>
      <c r="E25" s="25">
        <v>58</v>
      </c>
      <c r="F25" s="25">
        <v>1255</v>
      </c>
      <c r="G25" s="25">
        <v>4622</v>
      </c>
      <c r="H25" s="25"/>
    </row>
    <row r="26" spans="1:8" x14ac:dyDescent="0.35">
      <c r="A26" s="22" t="s">
        <v>957</v>
      </c>
      <c r="B26" s="22" t="s">
        <v>937</v>
      </c>
      <c r="C26" s="23" t="s">
        <v>872</v>
      </c>
      <c r="D26" s="23">
        <v>3</v>
      </c>
      <c r="E26" s="23">
        <v>66</v>
      </c>
      <c r="F26" s="23">
        <v>1423</v>
      </c>
      <c r="G26" s="23">
        <v>4638</v>
      </c>
      <c r="H26" s="23"/>
    </row>
    <row r="27" spans="1:8" x14ac:dyDescent="0.35">
      <c r="A27" s="24" t="s">
        <v>416</v>
      </c>
      <c r="B27" s="24" t="s">
        <v>882</v>
      </c>
      <c r="C27" s="25" t="s">
        <v>872</v>
      </c>
      <c r="D27" s="25">
        <v>2</v>
      </c>
      <c r="E27" s="25">
        <v>55</v>
      </c>
      <c r="F27" s="25">
        <v>1185</v>
      </c>
      <c r="G27" s="25">
        <v>4641</v>
      </c>
      <c r="H27" s="25">
        <v>3.9</v>
      </c>
    </row>
    <row r="28" spans="1:8" x14ac:dyDescent="0.35">
      <c r="A28" s="22" t="s">
        <v>957</v>
      </c>
      <c r="B28" s="22" t="s">
        <v>955</v>
      </c>
      <c r="C28" s="23" t="s">
        <v>872</v>
      </c>
      <c r="D28" s="23">
        <v>3</v>
      </c>
      <c r="E28" s="23">
        <v>65</v>
      </c>
      <c r="F28" s="23">
        <v>1400</v>
      </c>
      <c r="G28" s="23">
        <v>4643</v>
      </c>
      <c r="H28" s="23"/>
    </row>
    <row r="29" spans="1:8" x14ac:dyDescent="0.35">
      <c r="A29" s="24" t="s">
        <v>1080</v>
      </c>
      <c r="B29" s="24" t="s">
        <v>895</v>
      </c>
      <c r="C29" s="25" t="s">
        <v>872</v>
      </c>
      <c r="D29" s="25">
        <v>2</v>
      </c>
      <c r="E29" s="25">
        <v>49</v>
      </c>
      <c r="F29" s="25">
        <v>1045</v>
      </c>
      <c r="G29" s="25">
        <v>4689</v>
      </c>
      <c r="H29" s="25"/>
    </row>
    <row r="30" spans="1:8" x14ac:dyDescent="0.35">
      <c r="A30" s="22" t="s">
        <v>1059</v>
      </c>
      <c r="B30" s="22" t="s">
        <v>990</v>
      </c>
      <c r="C30" s="23" t="s">
        <v>872</v>
      </c>
      <c r="D30" s="23">
        <v>1</v>
      </c>
      <c r="E30" s="23">
        <v>31</v>
      </c>
      <c r="F30" s="23">
        <v>660</v>
      </c>
      <c r="G30" s="23">
        <v>4697</v>
      </c>
      <c r="H30" s="23">
        <v>3.5</v>
      </c>
    </row>
    <row r="31" spans="1:8" x14ac:dyDescent="0.35">
      <c r="A31" s="24" t="s">
        <v>1009</v>
      </c>
      <c r="B31" s="24" t="s">
        <v>914</v>
      </c>
      <c r="C31" s="25" t="s">
        <v>872</v>
      </c>
      <c r="D31" s="25">
        <v>2</v>
      </c>
      <c r="E31" s="25">
        <v>47.3</v>
      </c>
      <c r="F31" s="25">
        <v>1000</v>
      </c>
      <c r="G31" s="25">
        <v>4730</v>
      </c>
      <c r="H31" s="25">
        <v>4.3</v>
      </c>
    </row>
    <row r="32" spans="1:8" x14ac:dyDescent="0.35">
      <c r="A32" s="22" t="s">
        <v>1009</v>
      </c>
      <c r="B32" s="22" t="s">
        <v>914</v>
      </c>
      <c r="C32" s="23" t="s">
        <v>872</v>
      </c>
      <c r="D32" s="23">
        <v>3</v>
      </c>
      <c r="E32" s="23">
        <v>57.6</v>
      </c>
      <c r="F32" s="23">
        <v>1200</v>
      </c>
      <c r="G32" s="23">
        <v>4800</v>
      </c>
      <c r="H32" s="23">
        <v>4.3</v>
      </c>
    </row>
    <row r="33" spans="1:8" x14ac:dyDescent="0.35">
      <c r="A33" s="24" t="s">
        <v>163</v>
      </c>
      <c r="B33" s="24" t="s">
        <v>898</v>
      </c>
      <c r="C33" s="25" t="s">
        <v>872</v>
      </c>
      <c r="D33" s="25">
        <v>2</v>
      </c>
      <c r="E33" s="25">
        <v>55</v>
      </c>
      <c r="F33" s="25">
        <v>1134</v>
      </c>
      <c r="G33" s="25">
        <v>4850</v>
      </c>
      <c r="H33" s="25"/>
    </row>
    <row r="34" spans="1:8" x14ac:dyDescent="0.35">
      <c r="A34" s="22" t="s">
        <v>1040</v>
      </c>
      <c r="B34" s="22" t="s">
        <v>898</v>
      </c>
      <c r="C34" s="23" t="s">
        <v>872</v>
      </c>
      <c r="D34" s="23">
        <v>2</v>
      </c>
      <c r="E34" s="23">
        <v>50</v>
      </c>
      <c r="F34" s="23">
        <v>1026</v>
      </c>
      <c r="G34" s="23">
        <v>4873</v>
      </c>
      <c r="H34" s="23"/>
    </row>
    <row r="35" spans="1:8" x14ac:dyDescent="0.35">
      <c r="A35" s="24" t="s">
        <v>923</v>
      </c>
      <c r="B35" s="24" t="s">
        <v>898</v>
      </c>
      <c r="C35" s="25" t="s">
        <v>872</v>
      </c>
      <c r="D35" s="25">
        <v>3</v>
      </c>
      <c r="E35" s="25">
        <v>66</v>
      </c>
      <c r="F35" s="25">
        <v>1350</v>
      </c>
      <c r="G35" s="25">
        <v>4889</v>
      </c>
      <c r="H35" s="25"/>
    </row>
    <row r="36" spans="1:8" x14ac:dyDescent="0.35">
      <c r="A36" s="22" t="s">
        <v>1010</v>
      </c>
      <c r="B36" s="22" t="s">
        <v>1011</v>
      </c>
      <c r="C36" s="23" t="s">
        <v>872</v>
      </c>
      <c r="D36" s="23">
        <v>3</v>
      </c>
      <c r="E36" s="23">
        <v>95</v>
      </c>
      <c r="F36" s="23">
        <v>1920</v>
      </c>
      <c r="G36" s="23">
        <v>4948</v>
      </c>
      <c r="H36" s="23"/>
    </row>
    <row r="37" spans="1:8" x14ac:dyDescent="0.35">
      <c r="A37" s="24" t="s">
        <v>1009</v>
      </c>
      <c r="B37" s="24" t="s">
        <v>914</v>
      </c>
      <c r="C37" s="25" t="s">
        <v>872</v>
      </c>
      <c r="D37" s="25">
        <v>3</v>
      </c>
      <c r="E37" s="25">
        <v>59.6</v>
      </c>
      <c r="F37" s="25">
        <v>1200</v>
      </c>
      <c r="G37" s="25">
        <v>4967</v>
      </c>
      <c r="H37" s="25">
        <v>4.3</v>
      </c>
    </row>
    <row r="38" spans="1:8" x14ac:dyDescent="0.35">
      <c r="A38" s="22" t="s">
        <v>528</v>
      </c>
      <c r="B38" s="22" t="s">
        <v>999</v>
      </c>
      <c r="C38" s="23" t="s">
        <v>872</v>
      </c>
      <c r="D38" s="23">
        <v>3</v>
      </c>
      <c r="E38" s="23">
        <v>85</v>
      </c>
      <c r="F38" s="23">
        <v>1700</v>
      </c>
      <c r="G38" s="23">
        <v>5000</v>
      </c>
      <c r="H38" s="23"/>
    </row>
    <row r="39" spans="1:8" x14ac:dyDescent="0.35">
      <c r="A39" s="24" t="s">
        <v>1009</v>
      </c>
      <c r="B39" s="24" t="s">
        <v>914</v>
      </c>
      <c r="C39" s="25" t="s">
        <v>872</v>
      </c>
      <c r="D39" s="25">
        <v>2</v>
      </c>
      <c r="E39" s="25">
        <v>47.5</v>
      </c>
      <c r="F39" s="25">
        <v>950</v>
      </c>
      <c r="G39" s="25">
        <v>5000</v>
      </c>
      <c r="H39" s="25">
        <v>4.3</v>
      </c>
    </row>
    <row r="40" spans="1:8" x14ac:dyDescent="0.35">
      <c r="A40" s="22" t="s">
        <v>141</v>
      </c>
      <c r="B40" s="22" t="s">
        <v>898</v>
      </c>
      <c r="C40" s="23" t="s">
        <v>872</v>
      </c>
      <c r="D40" s="23">
        <v>2</v>
      </c>
      <c r="E40" s="23">
        <v>54</v>
      </c>
      <c r="F40" s="23">
        <v>1053</v>
      </c>
      <c r="G40" s="23">
        <v>5128</v>
      </c>
      <c r="H40" s="23"/>
    </row>
    <row r="41" spans="1:8" x14ac:dyDescent="0.35">
      <c r="A41" s="24" t="s">
        <v>923</v>
      </c>
      <c r="B41" s="24" t="s">
        <v>993</v>
      </c>
      <c r="C41" s="25" t="s">
        <v>872</v>
      </c>
      <c r="D41" s="25">
        <v>2</v>
      </c>
      <c r="E41" s="25">
        <v>48.5</v>
      </c>
      <c r="F41" s="25">
        <v>945</v>
      </c>
      <c r="G41" s="25">
        <v>5132</v>
      </c>
      <c r="H41" s="25"/>
    </row>
    <row r="42" spans="1:8" x14ac:dyDescent="0.35">
      <c r="A42" s="22" t="s">
        <v>1009</v>
      </c>
      <c r="B42" s="22" t="s">
        <v>914</v>
      </c>
      <c r="C42" s="23" t="s">
        <v>872</v>
      </c>
      <c r="D42" s="23">
        <v>3</v>
      </c>
      <c r="E42" s="23">
        <v>56</v>
      </c>
      <c r="F42" s="23">
        <v>1082</v>
      </c>
      <c r="G42" s="23">
        <v>5176</v>
      </c>
      <c r="H42" s="23">
        <v>4.3</v>
      </c>
    </row>
    <row r="43" spans="1:8" x14ac:dyDescent="0.35">
      <c r="A43" s="24" t="s">
        <v>1009</v>
      </c>
      <c r="B43" s="24" t="s">
        <v>914</v>
      </c>
      <c r="C43" s="25" t="s">
        <v>872</v>
      </c>
      <c r="D43" s="25">
        <v>2</v>
      </c>
      <c r="E43" s="25">
        <v>46</v>
      </c>
      <c r="F43" s="25">
        <v>883</v>
      </c>
      <c r="G43" s="25">
        <v>5210</v>
      </c>
      <c r="H43" s="25">
        <v>4.3</v>
      </c>
    </row>
    <row r="44" spans="1:8" x14ac:dyDescent="0.35">
      <c r="A44" s="22" t="s">
        <v>1009</v>
      </c>
      <c r="B44" s="22" t="s">
        <v>914</v>
      </c>
      <c r="C44" s="23" t="s">
        <v>872</v>
      </c>
      <c r="D44" s="23">
        <v>3</v>
      </c>
      <c r="E44" s="23">
        <v>56.8</v>
      </c>
      <c r="F44" s="23">
        <v>1082</v>
      </c>
      <c r="G44" s="23">
        <v>5250</v>
      </c>
      <c r="H44" s="23">
        <v>4.3</v>
      </c>
    </row>
    <row r="45" spans="1:8" x14ac:dyDescent="0.35">
      <c r="A45" s="24" t="s">
        <v>1009</v>
      </c>
      <c r="B45" s="24" t="s">
        <v>914</v>
      </c>
      <c r="C45" s="25" t="s">
        <v>872</v>
      </c>
      <c r="D45" s="25">
        <v>3</v>
      </c>
      <c r="E45" s="25">
        <v>57.8</v>
      </c>
      <c r="F45" s="25">
        <v>1100</v>
      </c>
      <c r="G45" s="25">
        <v>5255</v>
      </c>
      <c r="H45" s="25">
        <v>4.3</v>
      </c>
    </row>
    <row r="46" spans="1:8" x14ac:dyDescent="0.35">
      <c r="A46" s="22" t="s">
        <v>1009</v>
      </c>
      <c r="B46" s="22" t="s">
        <v>914</v>
      </c>
      <c r="C46" s="23" t="s">
        <v>872</v>
      </c>
      <c r="D46" s="23">
        <v>3</v>
      </c>
      <c r="E46" s="23">
        <v>56.98</v>
      </c>
      <c r="F46" s="23">
        <v>1082</v>
      </c>
      <c r="G46" s="23">
        <v>5266</v>
      </c>
      <c r="H46" s="23">
        <v>4.3</v>
      </c>
    </row>
    <row r="47" spans="1:8" x14ac:dyDescent="0.35">
      <c r="A47" s="24" t="s">
        <v>1009</v>
      </c>
      <c r="B47" s="24" t="s">
        <v>914</v>
      </c>
      <c r="C47" s="25" t="s">
        <v>872</v>
      </c>
      <c r="D47" s="25">
        <v>3</v>
      </c>
      <c r="E47" s="25">
        <v>57</v>
      </c>
      <c r="F47" s="25">
        <v>1082</v>
      </c>
      <c r="G47" s="25">
        <v>5268</v>
      </c>
      <c r="H47" s="25">
        <v>4.3</v>
      </c>
    </row>
    <row r="48" spans="1:8" x14ac:dyDescent="0.35">
      <c r="A48" s="22" t="s">
        <v>271</v>
      </c>
      <c r="B48" s="22" t="s">
        <v>898</v>
      </c>
      <c r="C48" s="23" t="s">
        <v>872</v>
      </c>
      <c r="D48" s="23">
        <v>2</v>
      </c>
      <c r="E48" s="23">
        <v>49.81</v>
      </c>
      <c r="F48" s="23">
        <v>945</v>
      </c>
      <c r="G48" s="23">
        <v>5271</v>
      </c>
      <c r="H48" s="23"/>
    </row>
    <row r="49" spans="1:8" x14ac:dyDescent="0.35">
      <c r="A49" s="24" t="s">
        <v>408</v>
      </c>
      <c r="B49" s="24" t="s">
        <v>882</v>
      </c>
      <c r="C49" s="25" t="s">
        <v>872</v>
      </c>
      <c r="D49" s="25">
        <v>2</v>
      </c>
      <c r="E49" s="25">
        <v>67</v>
      </c>
      <c r="F49" s="25">
        <v>1269</v>
      </c>
      <c r="G49" s="25">
        <v>5280</v>
      </c>
      <c r="H49" s="25"/>
    </row>
    <row r="50" spans="1:8" x14ac:dyDescent="0.35">
      <c r="A50" s="22" t="s">
        <v>1009</v>
      </c>
      <c r="B50" s="22" t="s">
        <v>914</v>
      </c>
      <c r="C50" s="23" t="s">
        <v>872</v>
      </c>
      <c r="D50" s="23">
        <v>2</v>
      </c>
      <c r="E50" s="23">
        <v>46.8</v>
      </c>
      <c r="F50" s="23">
        <v>883</v>
      </c>
      <c r="G50" s="23">
        <v>5300</v>
      </c>
      <c r="H50" s="23">
        <v>4.3</v>
      </c>
    </row>
    <row r="51" spans="1:8" x14ac:dyDescent="0.35">
      <c r="A51" s="24" t="s">
        <v>1009</v>
      </c>
      <c r="B51" s="24" t="s">
        <v>914</v>
      </c>
      <c r="C51" s="25" t="s">
        <v>872</v>
      </c>
      <c r="D51" s="25">
        <v>3</v>
      </c>
      <c r="E51" s="25">
        <v>57.5</v>
      </c>
      <c r="F51" s="25">
        <v>1082</v>
      </c>
      <c r="G51" s="25">
        <v>5314</v>
      </c>
      <c r="H51" s="25">
        <v>4.3</v>
      </c>
    </row>
    <row r="52" spans="1:8" x14ac:dyDescent="0.35">
      <c r="A52" s="22" t="s">
        <v>1009</v>
      </c>
      <c r="B52" s="22" t="s">
        <v>914</v>
      </c>
      <c r="C52" s="23" t="s">
        <v>872</v>
      </c>
      <c r="D52" s="23">
        <v>2</v>
      </c>
      <c r="E52" s="23">
        <v>48.9</v>
      </c>
      <c r="F52" s="23">
        <v>920</v>
      </c>
      <c r="G52" s="23">
        <v>5315</v>
      </c>
      <c r="H52" s="23">
        <v>4.3</v>
      </c>
    </row>
    <row r="53" spans="1:8" x14ac:dyDescent="0.35">
      <c r="A53" s="24" t="s">
        <v>528</v>
      </c>
      <c r="B53" s="24" t="s">
        <v>999</v>
      </c>
      <c r="C53" s="25" t="s">
        <v>872</v>
      </c>
      <c r="D53" s="25">
        <v>2</v>
      </c>
      <c r="E53" s="25">
        <v>75</v>
      </c>
      <c r="F53" s="25">
        <v>1410</v>
      </c>
      <c r="G53" s="25">
        <v>5319</v>
      </c>
      <c r="H53" s="25"/>
    </row>
    <row r="54" spans="1:8" x14ac:dyDescent="0.35">
      <c r="A54" s="22" t="s">
        <v>1009</v>
      </c>
      <c r="B54" s="22" t="s">
        <v>914</v>
      </c>
      <c r="C54" s="23" t="s">
        <v>872</v>
      </c>
      <c r="D54" s="23">
        <v>2</v>
      </c>
      <c r="E54" s="23">
        <v>47</v>
      </c>
      <c r="F54" s="23">
        <v>883</v>
      </c>
      <c r="G54" s="23">
        <v>5323</v>
      </c>
      <c r="H54" s="23">
        <v>4.3</v>
      </c>
    </row>
    <row r="55" spans="1:8" x14ac:dyDescent="0.35">
      <c r="A55" s="24" t="s">
        <v>1009</v>
      </c>
      <c r="B55" s="24" t="s">
        <v>914</v>
      </c>
      <c r="C55" s="25" t="s">
        <v>872</v>
      </c>
      <c r="D55" s="25">
        <v>3</v>
      </c>
      <c r="E55" s="25">
        <v>57.65</v>
      </c>
      <c r="F55" s="25">
        <v>1082</v>
      </c>
      <c r="G55" s="25">
        <v>5328</v>
      </c>
      <c r="H55" s="25">
        <v>4.3</v>
      </c>
    </row>
    <row r="56" spans="1:8" x14ac:dyDescent="0.35">
      <c r="A56" s="22" t="s">
        <v>923</v>
      </c>
      <c r="B56" s="22" t="s">
        <v>898</v>
      </c>
      <c r="C56" s="23" t="s">
        <v>872</v>
      </c>
      <c r="D56" s="23">
        <v>2</v>
      </c>
      <c r="E56" s="23">
        <v>49</v>
      </c>
      <c r="F56" s="23">
        <v>918</v>
      </c>
      <c r="G56" s="23">
        <v>5338</v>
      </c>
      <c r="H56" s="23"/>
    </row>
    <row r="57" spans="1:8" x14ac:dyDescent="0.35">
      <c r="A57" s="24" t="s">
        <v>1009</v>
      </c>
      <c r="B57" s="24" t="s">
        <v>914</v>
      </c>
      <c r="C57" s="25" t="s">
        <v>872</v>
      </c>
      <c r="D57" s="25">
        <v>3</v>
      </c>
      <c r="E57" s="25">
        <v>58</v>
      </c>
      <c r="F57" s="25">
        <v>1082</v>
      </c>
      <c r="G57" s="25">
        <v>5360</v>
      </c>
      <c r="H57" s="25">
        <v>4.3</v>
      </c>
    </row>
    <row r="58" spans="1:8" ht="23" x14ac:dyDescent="0.35">
      <c r="A58" s="22" t="s">
        <v>850</v>
      </c>
      <c r="B58" s="22" t="s">
        <v>1097</v>
      </c>
      <c r="C58" s="23" t="s">
        <v>875</v>
      </c>
      <c r="D58" s="23">
        <v>3</v>
      </c>
      <c r="E58" s="23">
        <v>113</v>
      </c>
      <c r="F58" s="23">
        <v>2100</v>
      </c>
      <c r="G58" s="23">
        <v>5381</v>
      </c>
      <c r="H58" s="23"/>
    </row>
    <row r="59" spans="1:8" x14ac:dyDescent="0.35">
      <c r="A59" s="24" t="s">
        <v>1009</v>
      </c>
      <c r="B59" s="24" t="s">
        <v>914</v>
      </c>
      <c r="C59" s="25" t="s">
        <v>872</v>
      </c>
      <c r="D59" s="25">
        <v>3</v>
      </c>
      <c r="E59" s="25">
        <v>58.3</v>
      </c>
      <c r="F59" s="25">
        <v>1082</v>
      </c>
      <c r="G59" s="25">
        <v>5388</v>
      </c>
      <c r="H59" s="25">
        <v>4.3</v>
      </c>
    </row>
    <row r="60" spans="1:8" x14ac:dyDescent="0.35">
      <c r="A60" s="22" t="s">
        <v>1009</v>
      </c>
      <c r="B60" s="22" t="s">
        <v>914</v>
      </c>
      <c r="C60" s="23" t="s">
        <v>872</v>
      </c>
      <c r="D60" s="23">
        <v>2</v>
      </c>
      <c r="E60" s="23">
        <v>48.7</v>
      </c>
      <c r="F60" s="23">
        <v>900</v>
      </c>
      <c r="G60" s="23">
        <v>5411</v>
      </c>
      <c r="H60" s="23">
        <v>4.3</v>
      </c>
    </row>
    <row r="61" spans="1:8" x14ac:dyDescent="0.35">
      <c r="A61" s="24" t="s">
        <v>1009</v>
      </c>
      <c r="B61" s="24" t="s">
        <v>914</v>
      </c>
      <c r="C61" s="25" t="s">
        <v>872</v>
      </c>
      <c r="D61" s="25">
        <v>2</v>
      </c>
      <c r="E61" s="25">
        <v>47.9</v>
      </c>
      <c r="F61" s="25">
        <v>883</v>
      </c>
      <c r="G61" s="25">
        <v>5425</v>
      </c>
      <c r="H61" s="25">
        <v>4.3</v>
      </c>
    </row>
    <row r="62" spans="1:8" x14ac:dyDescent="0.35">
      <c r="A62" s="22" t="s">
        <v>1009</v>
      </c>
      <c r="B62" s="22" t="s">
        <v>914</v>
      </c>
      <c r="C62" s="23" t="s">
        <v>872</v>
      </c>
      <c r="D62" s="23">
        <v>2</v>
      </c>
      <c r="E62" s="23">
        <v>48</v>
      </c>
      <c r="F62" s="23">
        <v>883</v>
      </c>
      <c r="G62" s="23">
        <v>5436</v>
      </c>
      <c r="H62" s="23">
        <v>4.3</v>
      </c>
    </row>
    <row r="63" spans="1:8" x14ac:dyDescent="0.35">
      <c r="A63" s="24" t="s">
        <v>64</v>
      </c>
      <c r="B63" s="24" t="s">
        <v>878</v>
      </c>
      <c r="C63" s="25" t="s">
        <v>872</v>
      </c>
      <c r="D63" s="25">
        <v>3</v>
      </c>
      <c r="E63" s="25">
        <v>83</v>
      </c>
      <c r="F63" s="25">
        <v>1525</v>
      </c>
      <c r="G63" s="25">
        <v>5443</v>
      </c>
      <c r="H63" s="25"/>
    </row>
    <row r="64" spans="1:8" x14ac:dyDescent="0.35">
      <c r="A64" s="22" t="s">
        <v>64</v>
      </c>
      <c r="B64" s="22" t="s">
        <v>878</v>
      </c>
      <c r="C64" s="23" t="s">
        <v>872</v>
      </c>
      <c r="D64" s="23">
        <v>2</v>
      </c>
      <c r="E64" s="23">
        <v>76</v>
      </c>
      <c r="F64" s="23">
        <v>1395</v>
      </c>
      <c r="G64" s="23">
        <v>5448</v>
      </c>
      <c r="H64" s="23"/>
    </row>
    <row r="65" spans="1:8" x14ac:dyDescent="0.35">
      <c r="A65" s="24" t="s">
        <v>1009</v>
      </c>
      <c r="B65" s="24" t="s">
        <v>914</v>
      </c>
      <c r="C65" s="25" t="s">
        <v>872</v>
      </c>
      <c r="D65" s="25">
        <v>3</v>
      </c>
      <c r="E65" s="25">
        <v>59</v>
      </c>
      <c r="F65" s="25">
        <v>1082</v>
      </c>
      <c r="G65" s="25">
        <v>5453</v>
      </c>
      <c r="H65" s="25">
        <v>4.3</v>
      </c>
    </row>
    <row r="66" spans="1:8" x14ac:dyDescent="0.35">
      <c r="A66" s="22" t="s">
        <v>916</v>
      </c>
      <c r="B66" s="22" t="s">
        <v>917</v>
      </c>
      <c r="C66" s="23" t="s">
        <v>872</v>
      </c>
      <c r="D66" s="23">
        <v>2</v>
      </c>
      <c r="E66" s="23">
        <v>55</v>
      </c>
      <c r="F66" s="23">
        <v>1008</v>
      </c>
      <c r="G66" s="23">
        <v>5456</v>
      </c>
      <c r="H66" s="23"/>
    </row>
    <row r="67" spans="1:8" x14ac:dyDescent="0.35">
      <c r="A67" s="24" t="s">
        <v>1009</v>
      </c>
      <c r="B67" s="24" t="s">
        <v>914</v>
      </c>
      <c r="C67" s="25" t="s">
        <v>872</v>
      </c>
      <c r="D67" s="25">
        <v>2</v>
      </c>
      <c r="E67" s="25">
        <v>48.2</v>
      </c>
      <c r="F67" s="25">
        <v>883</v>
      </c>
      <c r="G67" s="25">
        <v>5459</v>
      </c>
      <c r="H67" s="25">
        <v>4.3</v>
      </c>
    </row>
    <row r="68" spans="1:8" x14ac:dyDescent="0.35">
      <c r="A68" s="22" t="s">
        <v>916</v>
      </c>
      <c r="B68" s="22" t="s">
        <v>917</v>
      </c>
      <c r="C68" s="23" t="s">
        <v>872</v>
      </c>
      <c r="D68" s="23">
        <v>2</v>
      </c>
      <c r="E68" s="23">
        <v>54</v>
      </c>
      <c r="F68" s="23">
        <v>988</v>
      </c>
      <c r="G68" s="23">
        <v>5466</v>
      </c>
      <c r="H68" s="23"/>
    </row>
    <row r="69" spans="1:8" x14ac:dyDescent="0.35">
      <c r="A69" s="24" t="s">
        <v>916</v>
      </c>
      <c r="B69" s="24" t="s">
        <v>917</v>
      </c>
      <c r="C69" s="25" t="s">
        <v>872</v>
      </c>
      <c r="D69" s="25">
        <v>2</v>
      </c>
      <c r="E69" s="25">
        <v>55</v>
      </c>
      <c r="F69" s="25">
        <v>1005</v>
      </c>
      <c r="G69" s="25">
        <v>5473</v>
      </c>
      <c r="H69" s="25"/>
    </row>
    <row r="70" spans="1:8" x14ac:dyDescent="0.35">
      <c r="A70" s="22" t="s">
        <v>916</v>
      </c>
      <c r="B70" s="22" t="s">
        <v>917</v>
      </c>
      <c r="C70" s="23" t="s">
        <v>872</v>
      </c>
      <c r="D70" s="23">
        <v>2</v>
      </c>
      <c r="E70" s="23">
        <v>55</v>
      </c>
      <c r="F70" s="23">
        <v>1005</v>
      </c>
      <c r="G70" s="23">
        <v>5473</v>
      </c>
      <c r="H70" s="23"/>
    </row>
    <row r="71" spans="1:8" x14ac:dyDescent="0.35">
      <c r="A71" s="24" t="s">
        <v>916</v>
      </c>
      <c r="B71" s="24" t="s">
        <v>917</v>
      </c>
      <c r="C71" s="25" t="s">
        <v>872</v>
      </c>
      <c r="D71" s="25">
        <v>2</v>
      </c>
      <c r="E71" s="25">
        <v>55</v>
      </c>
      <c r="F71" s="25">
        <v>1005</v>
      </c>
      <c r="G71" s="25">
        <v>5473</v>
      </c>
      <c r="H71" s="25"/>
    </row>
    <row r="72" spans="1:8" x14ac:dyDescent="0.35">
      <c r="A72" s="22" t="s">
        <v>1009</v>
      </c>
      <c r="B72" s="22" t="s">
        <v>914</v>
      </c>
      <c r="C72" s="23" t="s">
        <v>872</v>
      </c>
      <c r="D72" s="23">
        <v>2</v>
      </c>
      <c r="E72" s="23">
        <v>48.5</v>
      </c>
      <c r="F72" s="23">
        <v>883</v>
      </c>
      <c r="G72" s="23">
        <v>5493</v>
      </c>
      <c r="H72" s="23">
        <v>4.3</v>
      </c>
    </row>
    <row r="73" spans="1:8" x14ac:dyDescent="0.35">
      <c r="A73" s="24" t="s">
        <v>808</v>
      </c>
      <c r="B73" s="24" t="s">
        <v>1083</v>
      </c>
      <c r="C73" s="25" t="s">
        <v>872</v>
      </c>
      <c r="D73" s="25">
        <v>2</v>
      </c>
      <c r="E73" s="25">
        <v>55</v>
      </c>
      <c r="F73" s="25">
        <v>1000</v>
      </c>
      <c r="G73" s="25">
        <v>5500</v>
      </c>
      <c r="H73" s="25"/>
    </row>
    <row r="74" spans="1:8" x14ac:dyDescent="0.35">
      <c r="A74" s="22" t="s">
        <v>1071</v>
      </c>
      <c r="B74" s="22" t="s">
        <v>22</v>
      </c>
      <c r="C74" s="23" t="s">
        <v>872</v>
      </c>
      <c r="D74" s="23">
        <v>3</v>
      </c>
      <c r="E74" s="23">
        <v>80</v>
      </c>
      <c r="F74" s="23">
        <v>1450</v>
      </c>
      <c r="G74" s="23">
        <v>5517</v>
      </c>
      <c r="H74" s="23">
        <v>3.8</v>
      </c>
    </row>
    <row r="75" spans="1:8" x14ac:dyDescent="0.35">
      <c r="A75" s="24" t="s">
        <v>64</v>
      </c>
      <c r="B75" s="24" t="s">
        <v>878</v>
      </c>
      <c r="C75" s="25" t="s">
        <v>872</v>
      </c>
      <c r="D75" s="25">
        <v>2</v>
      </c>
      <c r="E75" s="25">
        <v>66</v>
      </c>
      <c r="F75" s="25">
        <v>1196</v>
      </c>
      <c r="G75" s="25">
        <v>5518</v>
      </c>
      <c r="H75" s="25"/>
    </row>
    <row r="76" spans="1:8" x14ac:dyDescent="0.35">
      <c r="A76" s="22" t="s">
        <v>1071</v>
      </c>
      <c r="B76" s="22" t="s">
        <v>22</v>
      </c>
      <c r="C76" s="23" t="s">
        <v>872</v>
      </c>
      <c r="D76" s="23">
        <v>3</v>
      </c>
      <c r="E76" s="23">
        <v>82</v>
      </c>
      <c r="F76" s="23">
        <v>1450</v>
      </c>
      <c r="G76" s="23">
        <v>5655</v>
      </c>
      <c r="H76" s="23">
        <v>3.8</v>
      </c>
    </row>
    <row r="77" spans="1:8" x14ac:dyDescent="0.35">
      <c r="A77" s="24" t="s">
        <v>1018</v>
      </c>
      <c r="B77" s="24" t="s">
        <v>1019</v>
      </c>
      <c r="C77" s="25" t="s">
        <v>872</v>
      </c>
      <c r="D77" s="25">
        <v>2</v>
      </c>
      <c r="E77" s="25">
        <v>60</v>
      </c>
      <c r="F77" s="25">
        <v>1060</v>
      </c>
      <c r="G77" s="25">
        <v>5660</v>
      </c>
      <c r="H77" s="25"/>
    </row>
    <row r="78" spans="1:8" x14ac:dyDescent="0.35">
      <c r="A78" s="22" t="s">
        <v>1075</v>
      </c>
      <c r="B78" s="22" t="s">
        <v>975</v>
      </c>
      <c r="C78" s="23" t="s">
        <v>872</v>
      </c>
      <c r="D78" s="23">
        <v>2</v>
      </c>
      <c r="E78" s="23">
        <v>64</v>
      </c>
      <c r="F78" s="23">
        <v>1100</v>
      </c>
      <c r="G78" s="23">
        <v>5818</v>
      </c>
      <c r="H78" s="23"/>
    </row>
    <row r="79" spans="1:8" x14ac:dyDescent="0.35">
      <c r="A79" s="24" t="s">
        <v>1085</v>
      </c>
      <c r="B79" s="24" t="s">
        <v>962</v>
      </c>
      <c r="C79" s="25" t="s">
        <v>872</v>
      </c>
      <c r="D79" s="25">
        <v>2</v>
      </c>
      <c r="E79" s="25">
        <v>60</v>
      </c>
      <c r="F79" s="25">
        <v>1001</v>
      </c>
      <c r="G79" s="25">
        <v>5994</v>
      </c>
      <c r="H79" s="25"/>
    </row>
    <row r="80" spans="1:8" x14ac:dyDescent="0.35">
      <c r="A80" s="22" t="s">
        <v>1085</v>
      </c>
      <c r="B80" s="22" t="s">
        <v>962</v>
      </c>
      <c r="C80" s="23" t="s">
        <v>872</v>
      </c>
      <c r="D80" s="23">
        <v>3</v>
      </c>
      <c r="E80" s="23">
        <v>78</v>
      </c>
      <c r="F80" s="23">
        <v>1301</v>
      </c>
      <c r="G80" s="23">
        <v>5995</v>
      </c>
      <c r="H80" s="23"/>
    </row>
    <row r="81" spans="1:8" x14ac:dyDescent="0.35">
      <c r="A81" s="24" t="s">
        <v>812</v>
      </c>
      <c r="B81" s="24" t="s">
        <v>1084</v>
      </c>
      <c r="C81" s="25" t="s">
        <v>872</v>
      </c>
      <c r="D81" s="25">
        <v>3</v>
      </c>
      <c r="E81" s="25">
        <v>87</v>
      </c>
      <c r="F81" s="25">
        <v>1450</v>
      </c>
      <c r="G81" s="25">
        <v>6000</v>
      </c>
      <c r="H81" s="25"/>
    </row>
    <row r="82" spans="1:8" x14ac:dyDescent="0.35">
      <c r="A82" s="22" t="s">
        <v>1085</v>
      </c>
      <c r="B82" s="22" t="s">
        <v>1086</v>
      </c>
      <c r="C82" s="23" t="s">
        <v>872</v>
      </c>
      <c r="D82" s="23">
        <v>2</v>
      </c>
      <c r="E82" s="23">
        <v>60</v>
      </c>
      <c r="F82" s="23">
        <v>1000</v>
      </c>
      <c r="G82" s="23">
        <v>6000</v>
      </c>
      <c r="H82" s="23"/>
    </row>
    <row r="83" spans="1:8" x14ac:dyDescent="0.35">
      <c r="A83" s="24" t="s">
        <v>1085</v>
      </c>
      <c r="B83" s="24" t="s">
        <v>976</v>
      </c>
      <c r="C83" s="25" t="s">
        <v>872</v>
      </c>
      <c r="D83" s="25">
        <v>2</v>
      </c>
      <c r="E83" s="25">
        <v>66</v>
      </c>
      <c r="F83" s="25">
        <v>1100</v>
      </c>
      <c r="G83" s="25">
        <v>6000</v>
      </c>
      <c r="H83" s="25"/>
    </row>
    <row r="84" spans="1:8" x14ac:dyDescent="0.35">
      <c r="A84" s="22" t="s">
        <v>1085</v>
      </c>
      <c r="B84" s="22" t="s">
        <v>976</v>
      </c>
      <c r="C84" s="23" t="s">
        <v>872</v>
      </c>
      <c r="D84" s="23">
        <v>3</v>
      </c>
      <c r="E84" s="23">
        <v>87</v>
      </c>
      <c r="F84" s="23">
        <v>1450</v>
      </c>
      <c r="G84" s="23">
        <v>6000</v>
      </c>
      <c r="H84" s="23"/>
    </row>
    <row r="85" spans="1:8" x14ac:dyDescent="0.35">
      <c r="A85" s="24" t="s">
        <v>1085</v>
      </c>
      <c r="B85" s="24" t="s">
        <v>1086</v>
      </c>
      <c r="C85" s="25" t="s">
        <v>872</v>
      </c>
      <c r="D85" s="25">
        <v>3</v>
      </c>
      <c r="E85" s="25">
        <v>78</v>
      </c>
      <c r="F85" s="25">
        <v>1300</v>
      </c>
      <c r="G85" s="25">
        <v>6000</v>
      </c>
      <c r="H85" s="25"/>
    </row>
    <row r="86" spans="1:8" x14ac:dyDescent="0.35">
      <c r="A86" s="22" t="s">
        <v>1061</v>
      </c>
      <c r="B86" s="22" t="s">
        <v>1062</v>
      </c>
      <c r="C86" s="23" t="s">
        <v>872</v>
      </c>
      <c r="D86" s="23">
        <v>3</v>
      </c>
      <c r="E86" s="23">
        <v>90</v>
      </c>
      <c r="F86" s="23">
        <v>1500</v>
      </c>
      <c r="G86" s="23">
        <v>6000</v>
      </c>
      <c r="H86" s="23"/>
    </row>
    <row r="87" spans="1:8" x14ac:dyDescent="0.35">
      <c r="A87" s="24" t="s">
        <v>1018</v>
      </c>
      <c r="B87" s="24" t="s">
        <v>1070</v>
      </c>
      <c r="C87" s="25" t="s">
        <v>872</v>
      </c>
      <c r="D87" s="25">
        <v>2</v>
      </c>
      <c r="E87" s="25">
        <v>65</v>
      </c>
      <c r="F87" s="25">
        <v>1060</v>
      </c>
      <c r="G87" s="25">
        <v>6132</v>
      </c>
      <c r="H87" s="25"/>
    </row>
    <row r="88" spans="1:8" x14ac:dyDescent="0.35">
      <c r="A88" s="22" t="s">
        <v>1018</v>
      </c>
      <c r="B88" s="22" t="s">
        <v>1019</v>
      </c>
      <c r="C88" s="23" t="s">
        <v>872</v>
      </c>
      <c r="D88" s="23">
        <v>2</v>
      </c>
      <c r="E88" s="23">
        <v>65</v>
      </c>
      <c r="F88" s="23">
        <v>1060</v>
      </c>
      <c r="G88" s="23">
        <v>6132</v>
      </c>
      <c r="H88" s="23"/>
    </row>
    <row r="89" spans="1:8" x14ac:dyDescent="0.35">
      <c r="A89" s="24" t="s">
        <v>966</v>
      </c>
      <c r="B89" s="24" t="s">
        <v>967</v>
      </c>
      <c r="C89" s="25" t="s">
        <v>872</v>
      </c>
      <c r="D89" s="25">
        <v>2</v>
      </c>
      <c r="E89" s="25">
        <v>65</v>
      </c>
      <c r="F89" s="25">
        <v>1050</v>
      </c>
      <c r="G89" s="25">
        <v>6190</v>
      </c>
      <c r="H89" s="25"/>
    </row>
    <row r="90" spans="1:8" x14ac:dyDescent="0.35">
      <c r="A90" s="22" t="s">
        <v>974</v>
      </c>
      <c r="B90" s="22" t="s">
        <v>967</v>
      </c>
      <c r="C90" s="23" t="s">
        <v>872</v>
      </c>
      <c r="D90" s="23">
        <v>2</v>
      </c>
      <c r="E90" s="23">
        <v>67.5</v>
      </c>
      <c r="F90" s="23">
        <v>1090</v>
      </c>
      <c r="G90" s="23">
        <v>6193</v>
      </c>
      <c r="H90" s="23"/>
    </row>
    <row r="91" spans="1:8" x14ac:dyDescent="0.35">
      <c r="A91" s="24" t="s">
        <v>312</v>
      </c>
      <c r="B91" s="24" t="s">
        <v>949</v>
      </c>
      <c r="C91" s="25" t="s">
        <v>872</v>
      </c>
      <c r="D91" s="25">
        <v>2</v>
      </c>
      <c r="E91" s="25">
        <v>75</v>
      </c>
      <c r="F91" s="25">
        <v>1210</v>
      </c>
      <c r="G91" s="25">
        <v>6198</v>
      </c>
      <c r="H91" s="25"/>
    </row>
    <row r="92" spans="1:8" x14ac:dyDescent="0.35">
      <c r="A92" s="22" t="s">
        <v>554</v>
      </c>
      <c r="B92" s="22" t="s">
        <v>985</v>
      </c>
      <c r="C92" s="23" t="s">
        <v>872</v>
      </c>
      <c r="D92" s="23">
        <v>2</v>
      </c>
      <c r="E92" s="23">
        <v>85</v>
      </c>
      <c r="F92" s="23">
        <v>1348</v>
      </c>
      <c r="G92" s="23">
        <v>6306</v>
      </c>
      <c r="H92" s="23"/>
    </row>
    <row r="93" spans="1:8" x14ac:dyDescent="0.35">
      <c r="A93" s="24" t="s">
        <v>1091</v>
      </c>
      <c r="B93" s="24" t="s">
        <v>1013</v>
      </c>
      <c r="C93" s="25" t="s">
        <v>872</v>
      </c>
      <c r="D93" s="25">
        <v>1</v>
      </c>
      <c r="E93" s="25">
        <v>75</v>
      </c>
      <c r="F93" s="25">
        <v>1170</v>
      </c>
      <c r="G93" s="25">
        <v>6410</v>
      </c>
      <c r="H93" s="25"/>
    </row>
    <row r="94" spans="1:8" x14ac:dyDescent="0.35">
      <c r="A94" s="22" t="s">
        <v>1061</v>
      </c>
      <c r="B94" s="22" t="s">
        <v>1062</v>
      </c>
      <c r="C94" s="23" t="s">
        <v>872</v>
      </c>
      <c r="D94" s="23">
        <v>3</v>
      </c>
      <c r="E94" s="23">
        <v>99</v>
      </c>
      <c r="F94" s="23">
        <v>1500</v>
      </c>
      <c r="G94" s="23">
        <v>6600</v>
      </c>
      <c r="H94" s="23"/>
    </row>
    <row r="95" spans="1:8" x14ac:dyDescent="0.35">
      <c r="A95" s="24" t="s">
        <v>284</v>
      </c>
      <c r="B95" s="24" t="s">
        <v>942</v>
      </c>
      <c r="C95" s="25" t="s">
        <v>872</v>
      </c>
      <c r="D95" s="25">
        <v>3</v>
      </c>
      <c r="E95" s="25">
        <v>99</v>
      </c>
      <c r="F95" s="25">
        <v>1485</v>
      </c>
      <c r="G95" s="25">
        <v>6667</v>
      </c>
      <c r="H95" s="25"/>
    </row>
    <row r="96" spans="1:8" x14ac:dyDescent="0.35">
      <c r="A96" s="22" t="s">
        <v>1095</v>
      </c>
      <c r="B96" s="22" t="s">
        <v>1096</v>
      </c>
      <c r="C96" s="23" t="s">
        <v>872</v>
      </c>
      <c r="D96" s="23">
        <v>2</v>
      </c>
      <c r="E96" s="23">
        <v>79</v>
      </c>
      <c r="F96" s="23">
        <v>1185</v>
      </c>
      <c r="G96" s="23">
        <v>6667</v>
      </c>
      <c r="H96" s="23"/>
    </row>
    <row r="97" spans="1:8" x14ac:dyDescent="0.35">
      <c r="A97" s="24" t="s">
        <v>397</v>
      </c>
      <c r="B97" s="24" t="s">
        <v>946</v>
      </c>
      <c r="C97" s="25" t="s">
        <v>872</v>
      </c>
      <c r="D97" s="25">
        <v>3</v>
      </c>
      <c r="E97" s="25">
        <v>84</v>
      </c>
      <c r="F97" s="25">
        <v>1250</v>
      </c>
      <c r="G97" s="25">
        <v>6720</v>
      </c>
      <c r="H97" s="25"/>
    </row>
    <row r="98" spans="1:8" x14ac:dyDescent="0.35">
      <c r="A98" s="22" t="s">
        <v>93</v>
      </c>
      <c r="B98" s="22" t="s">
        <v>871</v>
      </c>
      <c r="C98" s="23" t="s">
        <v>872</v>
      </c>
      <c r="D98" s="23">
        <v>2</v>
      </c>
      <c r="E98" s="23">
        <v>70</v>
      </c>
      <c r="F98" s="23">
        <v>1040</v>
      </c>
      <c r="G98" s="23">
        <v>6731</v>
      </c>
      <c r="H98" s="23"/>
    </row>
    <row r="99" spans="1:8" x14ac:dyDescent="0.35">
      <c r="A99" s="24" t="s">
        <v>159</v>
      </c>
      <c r="B99" s="24" t="s">
        <v>902</v>
      </c>
      <c r="C99" s="25" t="s">
        <v>872</v>
      </c>
      <c r="D99" s="25">
        <v>3</v>
      </c>
      <c r="E99" s="25">
        <v>92</v>
      </c>
      <c r="F99" s="25">
        <v>1365</v>
      </c>
      <c r="G99" s="25">
        <v>6740</v>
      </c>
      <c r="H99" s="25"/>
    </row>
    <row r="100" spans="1:8" x14ac:dyDescent="0.35">
      <c r="A100" s="22" t="s">
        <v>933</v>
      </c>
      <c r="B100" s="22" t="s">
        <v>934</v>
      </c>
      <c r="C100" s="23" t="s">
        <v>872</v>
      </c>
      <c r="D100" s="23">
        <v>3</v>
      </c>
      <c r="E100" s="23">
        <v>105</v>
      </c>
      <c r="F100" s="23">
        <v>1550</v>
      </c>
      <c r="G100" s="23">
        <v>6774</v>
      </c>
      <c r="H100" s="23">
        <v>4</v>
      </c>
    </row>
    <row r="101" spans="1:8" x14ac:dyDescent="0.35">
      <c r="A101" s="24" t="s">
        <v>950</v>
      </c>
      <c r="B101" s="24" t="s">
        <v>885</v>
      </c>
      <c r="C101" s="25" t="s">
        <v>872</v>
      </c>
      <c r="D101" s="25">
        <v>2</v>
      </c>
      <c r="E101" s="25">
        <v>85.68</v>
      </c>
      <c r="F101" s="25">
        <v>1260</v>
      </c>
      <c r="G101" s="25">
        <v>6800</v>
      </c>
      <c r="H101" s="25"/>
    </row>
    <row r="102" spans="1:8" x14ac:dyDescent="0.35">
      <c r="A102" s="22" t="s">
        <v>950</v>
      </c>
      <c r="B102" s="22" t="s">
        <v>885</v>
      </c>
      <c r="C102" s="23" t="s">
        <v>872</v>
      </c>
      <c r="D102" s="23">
        <v>3</v>
      </c>
      <c r="E102" s="23">
        <v>102</v>
      </c>
      <c r="F102" s="23">
        <v>1500</v>
      </c>
      <c r="G102" s="23">
        <v>6800</v>
      </c>
      <c r="H102" s="23"/>
    </row>
    <row r="103" spans="1:8" x14ac:dyDescent="0.35">
      <c r="A103" s="24" t="s">
        <v>397</v>
      </c>
      <c r="B103" s="24" t="s">
        <v>946</v>
      </c>
      <c r="C103" s="25" t="s">
        <v>872</v>
      </c>
      <c r="D103" s="25">
        <v>3</v>
      </c>
      <c r="E103" s="25">
        <v>85</v>
      </c>
      <c r="F103" s="25">
        <v>1250</v>
      </c>
      <c r="G103" s="25">
        <v>6800</v>
      </c>
      <c r="H103" s="25"/>
    </row>
    <row r="104" spans="1:8" x14ac:dyDescent="0.35">
      <c r="A104" s="22" t="s">
        <v>973</v>
      </c>
      <c r="B104" s="22" t="s">
        <v>946</v>
      </c>
      <c r="C104" s="23" t="s">
        <v>872</v>
      </c>
      <c r="D104" s="23">
        <v>3</v>
      </c>
      <c r="E104" s="23">
        <v>85</v>
      </c>
      <c r="F104" s="23">
        <v>1250</v>
      </c>
      <c r="G104" s="23">
        <v>6800</v>
      </c>
      <c r="H104" s="23"/>
    </row>
    <row r="105" spans="1:8" x14ac:dyDescent="0.35">
      <c r="A105" s="24" t="s">
        <v>978</v>
      </c>
      <c r="B105" s="24" t="s">
        <v>979</v>
      </c>
      <c r="C105" s="25" t="s">
        <v>872</v>
      </c>
      <c r="D105" s="25">
        <v>2</v>
      </c>
      <c r="E105" s="25">
        <v>75</v>
      </c>
      <c r="F105" s="25">
        <v>1100</v>
      </c>
      <c r="G105" s="25">
        <v>6818</v>
      </c>
      <c r="H105" s="25">
        <v>3.8</v>
      </c>
    </row>
    <row r="106" spans="1:8" x14ac:dyDescent="0.35">
      <c r="A106" s="22" t="s">
        <v>253</v>
      </c>
      <c r="B106" s="22" t="s">
        <v>930</v>
      </c>
      <c r="C106" s="23" t="s">
        <v>872</v>
      </c>
      <c r="D106" s="23">
        <v>2</v>
      </c>
      <c r="E106" s="23">
        <v>65</v>
      </c>
      <c r="F106" s="23">
        <v>950</v>
      </c>
      <c r="G106" s="23">
        <v>6842</v>
      </c>
      <c r="H106" s="23"/>
    </row>
    <row r="107" spans="1:8" x14ac:dyDescent="0.35">
      <c r="A107" s="24" t="s">
        <v>663</v>
      </c>
      <c r="B107" s="24" t="s">
        <v>902</v>
      </c>
      <c r="C107" s="25" t="s">
        <v>872</v>
      </c>
      <c r="D107" s="25">
        <v>3</v>
      </c>
      <c r="E107" s="25">
        <v>122</v>
      </c>
      <c r="F107" s="25">
        <v>1781</v>
      </c>
      <c r="G107" s="25">
        <v>6850</v>
      </c>
      <c r="H107" s="25"/>
    </row>
    <row r="108" spans="1:8" x14ac:dyDescent="0.35">
      <c r="A108" s="22" t="s">
        <v>964</v>
      </c>
      <c r="B108" s="22" t="s">
        <v>965</v>
      </c>
      <c r="C108" s="23" t="s">
        <v>872</v>
      </c>
      <c r="D108" s="23">
        <v>2</v>
      </c>
      <c r="E108" s="23">
        <v>75</v>
      </c>
      <c r="F108" s="23">
        <v>1094</v>
      </c>
      <c r="G108" s="23">
        <v>6856</v>
      </c>
      <c r="H108" s="23"/>
    </row>
    <row r="109" spans="1:8" x14ac:dyDescent="0.35">
      <c r="A109" s="24" t="s">
        <v>298</v>
      </c>
      <c r="B109" s="24" t="s">
        <v>946</v>
      </c>
      <c r="C109" s="25" t="s">
        <v>872</v>
      </c>
      <c r="D109" s="25">
        <v>3</v>
      </c>
      <c r="E109" s="25">
        <v>86</v>
      </c>
      <c r="F109" s="25">
        <v>1250</v>
      </c>
      <c r="G109" s="25">
        <v>6880</v>
      </c>
      <c r="H109" s="25"/>
    </row>
    <row r="110" spans="1:8" x14ac:dyDescent="0.35">
      <c r="A110" s="22" t="s">
        <v>397</v>
      </c>
      <c r="B110" s="22" t="s">
        <v>946</v>
      </c>
      <c r="C110" s="23" t="s">
        <v>872</v>
      </c>
      <c r="D110" s="23">
        <v>3</v>
      </c>
      <c r="E110" s="23">
        <v>86</v>
      </c>
      <c r="F110" s="23">
        <v>1250</v>
      </c>
      <c r="G110" s="23">
        <v>6880</v>
      </c>
      <c r="H110" s="23"/>
    </row>
    <row r="111" spans="1:8" x14ac:dyDescent="0.35">
      <c r="A111" s="24" t="s">
        <v>93</v>
      </c>
      <c r="B111" s="24" t="s">
        <v>884</v>
      </c>
      <c r="C111" s="25" t="s">
        <v>872</v>
      </c>
      <c r="D111" s="25">
        <v>3</v>
      </c>
      <c r="E111" s="25">
        <v>93</v>
      </c>
      <c r="F111" s="25">
        <v>1350</v>
      </c>
      <c r="G111" s="25">
        <v>6889</v>
      </c>
      <c r="H111" s="25"/>
    </row>
    <row r="112" spans="1:8" x14ac:dyDescent="0.35">
      <c r="A112" s="22" t="s">
        <v>93</v>
      </c>
      <c r="B112" s="22" t="s">
        <v>884</v>
      </c>
      <c r="C112" s="23" t="s">
        <v>872</v>
      </c>
      <c r="D112" s="23">
        <v>2</v>
      </c>
      <c r="E112" s="23">
        <v>72</v>
      </c>
      <c r="F112" s="23">
        <v>1040</v>
      </c>
      <c r="G112" s="23">
        <v>6923</v>
      </c>
      <c r="H112" s="23"/>
    </row>
    <row r="113" spans="1:8" x14ac:dyDescent="0.35">
      <c r="A113" s="24" t="s">
        <v>93</v>
      </c>
      <c r="B113" s="24" t="s">
        <v>871</v>
      </c>
      <c r="C113" s="25" t="s">
        <v>872</v>
      </c>
      <c r="D113" s="25">
        <v>3</v>
      </c>
      <c r="E113" s="25">
        <v>93.62</v>
      </c>
      <c r="F113" s="25">
        <v>1350</v>
      </c>
      <c r="G113" s="25">
        <v>6935</v>
      </c>
      <c r="H113" s="25"/>
    </row>
    <row r="114" spans="1:8" x14ac:dyDescent="0.35">
      <c r="A114" s="22" t="s">
        <v>93</v>
      </c>
      <c r="B114" s="22" t="s">
        <v>871</v>
      </c>
      <c r="C114" s="23" t="s">
        <v>872</v>
      </c>
      <c r="D114" s="23">
        <v>3</v>
      </c>
      <c r="E114" s="23">
        <v>103</v>
      </c>
      <c r="F114" s="23">
        <v>1485</v>
      </c>
      <c r="G114" s="23">
        <v>6936</v>
      </c>
      <c r="H114" s="23"/>
    </row>
    <row r="115" spans="1:8" x14ac:dyDescent="0.35">
      <c r="A115" s="24" t="s">
        <v>906</v>
      </c>
      <c r="B115" s="24" t="s">
        <v>907</v>
      </c>
      <c r="C115" s="25" t="s">
        <v>872</v>
      </c>
      <c r="D115" s="25">
        <v>2</v>
      </c>
      <c r="E115" s="25">
        <v>88</v>
      </c>
      <c r="F115" s="25">
        <v>1268</v>
      </c>
      <c r="G115" s="25">
        <v>6940</v>
      </c>
      <c r="H115" s="25">
        <v>3.7</v>
      </c>
    </row>
    <row r="116" spans="1:8" x14ac:dyDescent="0.35">
      <c r="A116" s="22" t="s">
        <v>93</v>
      </c>
      <c r="B116" s="22" t="s">
        <v>871</v>
      </c>
      <c r="C116" s="23" t="s">
        <v>872</v>
      </c>
      <c r="D116" s="23">
        <v>2</v>
      </c>
      <c r="E116" s="23">
        <v>86.55</v>
      </c>
      <c r="F116" s="23">
        <v>1245</v>
      </c>
      <c r="G116" s="23">
        <v>6952</v>
      </c>
      <c r="H116" s="23"/>
    </row>
    <row r="117" spans="1:8" x14ac:dyDescent="0.35">
      <c r="A117" s="24" t="s">
        <v>93</v>
      </c>
      <c r="B117" s="24" t="s">
        <v>980</v>
      </c>
      <c r="C117" s="25" t="s">
        <v>872</v>
      </c>
      <c r="D117" s="25">
        <v>2</v>
      </c>
      <c r="E117" s="25">
        <v>80.819999999999993</v>
      </c>
      <c r="F117" s="25">
        <v>1160</v>
      </c>
      <c r="G117" s="25">
        <v>6967</v>
      </c>
      <c r="H117" s="25"/>
    </row>
    <row r="118" spans="1:8" x14ac:dyDescent="0.35">
      <c r="A118" s="22" t="s">
        <v>718</v>
      </c>
      <c r="B118" s="22" t="s">
        <v>1056</v>
      </c>
      <c r="C118" s="23" t="s">
        <v>872</v>
      </c>
      <c r="D118" s="23">
        <v>2</v>
      </c>
      <c r="E118" s="23">
        <v>75</v>
      </c>
      <c r="F118" s="23">
        <v>1075</v>
      </c>
      <c r="G118" s="23">
        <v>6977</v>
      </c>
      <c r="H118" s="23"/>
    </row>
    <row r="119" spans="1:8" x14ac:dyDescent="0.35">
      <c r="A119" s="24" t="s">
        <v>950</v>
      </c>
      <c r="B119" s="24" t="s">
        <v>885</v>
      </c>
      <c r="C119" s="25" t="s">
        <v>872</v>
      </c>
      <c r="D119" s="25">
        <v>3</v>
      </c>
      <c r="E119" s="25">
        <v>110</v>
      </c>
      <c r="F119" s="25">
        <v>1575</v>
      </c>
      <c r="G119" s="25">
        <v>6984</v>
      </c>
      <c r="H119" s="25"/>
    </row>
    <row r="120" spans="1:8" x14ac:dyDescent="0.35">
      <c r="A120" s="22" t="s">
        <v>950</v>
      </c>
      <c r="B120" s="22" t="s">
        <v>885</v>
      </c>
      <c r="C120" s="23" t="s">
        <v>872</v>
      </c>
      <c r="D120" s="23">
        <v>3</v>
      </c>
      <c r="E120" s="23">
        <v>109</v>
      </c>
      <c r="F120" s="23">
        <v>1560</v>
      </c>
      <c r="G120" s="23">
        <v>6987</v>
      </c>
      <c r="H120" s="23"/>
    </row>
    <row r="121" spans="1:8" x14ac:dyDescent="0.35">
      <c r="A121" s="24" t="s">
        <v>889</v>
      </c>
      <c r="B121" s="24" t="s">
        <v>890</v>
      </c>
      <c r="C121" s="25" t="s">
        <v>872</v>
      </c>
      <c r="D121" s="25">
        <v>3</v>
      </c>
      <c r="E121" s="25">
        <v>77</v>
      </c>
      <c r="F121" s="25">
        <v>1101</v>
      </c>
      <c r="G121" s="25">
        <v>6994</v>
      </c>
      <c r="H121" s="25">
        <v>4.3</v>
      </c>
    </row>
    <row r="122" spans="1:8" x14ac:dyDescent="0.35">
      <c r="A122" s="22" t="s">
        <v>950</v>
      </c>
      <c r="B122" s="22" t="s">
        <v>885</v>
      </c>
      <c r="C122" s="23" t="s">
        <v>872</v>
      </c>
      <c r="D122" s="23">
        <v>2</v>
      </c>
      <c r="E122" s="23">
        <v>85.05</v>
      </c>
      <c r="F122" s="23">
        <v>1215</v>
      </c>
      <c r="G122" s="23">
        <v>7000</v>
      </c>
      <c r="H122" s="23"/>
    </row>
    <row r="123" spans="1:8" x14ac:dyDescent="0.35">
      <c r="A123" s="24" t="s">
        <v>981</v>
      </c>
      <c r="B123" s="24" t="s">
        <v>885</v>
      </c>
      <c r="C123" s="25" t="s">
        <v>872</v>
      </c>
      <c r="D123" s="25">
        <v>2</v>
      </c>
      <c r="E123" s="25">
        <v>85.4</v>
      </c>
      <c r="F123" s="25">
        <v>1220</v>
      </c>
      <c r="G123" s="25">
        <v>7000</v>
      </c>
      <c r="H123" s="25"/>
    </row>
    <row r="124" spans="1:8" x14ac:dyDescent="0.35">
      <c r="A124" s="22" t="s">
        <v>1003</v>
      </c>
      <c r="B124" s="22" t="s">
        <v>885</v>
      </c>
      <c r="C124" s="23" t="s">
        <v>872</v>
      </c>
      <c r="D124" s="23">
        <v>2</v>
      </c>
      <c r="E124" s="23">
        <v>84.7</v>
      </c>
      <c r="F124" s="23">
        <v>1210</v>
      </c>
      <c r="G124" s="23">
        <v>7000</v>
      </c>
      <c r="H124" s="23"/>
    </row>
    <row r="125" spans="1:8" x14ac:dyDescent="0.35">
      <c r="A125" s="24" t="s">
        <v>950</v>
      </c>
      <c r="B125" s="24" t="s">
        <v>885</v>
      </c>
      <c r="C125" s="25" t="s">
        <v>872</v>
      </c>
      <c r="D125" s="25">
        <v>2</v>
      </c>
      <c r="E125" s="25">
        <v>75.25</v>
      </c>
      <c r="F125" s="25">
        <v>1075</v>
      </c>
      <c r="G125" s="25">
        <v>7000</v>
      </c>
      <c r="H125" s="25"/>
    </row>
    <row r="126" spans="1:8" x14ac:dyDescent="0.35">
      <c r="A126" s="22" t="s">
        <v>950</v>
      </c>
      <c r="B126" s="22" t="s">
        <v>952</v>
      </c>
      <c r="C126" s="23" t="s">
        <v>872</v>
      </c>
      <c r="D126" s="23">
        <v>3</v>
      </c>
      <c r="E126" s="23">
        <v>105</v>
      </c>
      <c r="F126" s="23">
        <v>1500</v>
      </c>
      <c r="G126" s="23">
        <v>7000</v>
      </c>
      <c r="H126" s="23"/>
    </row>
    <row r="127" spans="1:8" ht="23" x14ac:dyDescent="0.35">
      <c r="A127" s="24" t="s">
        <v>1036</v>
      </c>
      <c r="B127" s="24" t="s">
        <v>1037</v>
      </c>
      <c r="C127" s="25" t="s">
        <v>872</v>
      </c>
      <c r="D127" s="25">
        <v>3</v>
      </c>
      <c r="E127" s="25">
        <v>168</v>
      </c>
      <c r="F127" s="25">
        <v>2400</v>
      </c>
      <c r="G127" s="25">
        <v>7000</v>
      </c>
      <c r="H127" s="25"/>
    </row>
    <row r="128" spans="1:8" x14ac:dyDescent="0.35">
      <c r="A128" s="22" t="s">
        <v>933</v>
      </c>
      <c r="B128" s="22" t="s">
        <v>934</v>
      </c>
      <c r="C128" s="23" t="s">
        <v>872</v>
      </c>
      <c r="D128" s="23">
        <v>1</v>
      </c>
      <c r="E128" s="23">
        <v>56</v>
      </c>
      <c r="F128" s="23">
        <v>800</v>
      </c>
      <c r="G128" s="23">
        <v>7000</v>
      </c>
      <c r="H128" s="23">
        <v>4</v>
      </c>
    </row>
    <row r="129" spans="1:8" x14ac:dyDescent="0.35">
      <c r="A129" s="24" t="s">
        <v>93</v>
      </c>
      <c r="B129" s="24" t="s">
        <v>871</v>
      </c>
      <c r="C129" s="25" t="s">
        <v>872</v>
      </c>
      <c r="D129" s="25">
        <v>2</v>
      </c>
      <c r="E129" s="25">
        <v>70.709999999999994</v>
      </c>
      <c r="F129" s="25">
        <v>1010</v>
      </c>
      <c r="G129" s="25">
        <v>7001</v>
      </c>
      <c r="H129" s="25"/>
    </row>
    <row r="130" spans="1:8" x14ac:dyDescent="0.35">
      <c r="A130" s="22" t="s">
        <v>93</v>
      </c>
      <c r="B130" s="22" t="s">
        <v>871</v>
      </c>
      <c r="C130" s="23" t="s">
        <v>872</v>
      </c>
      <c r="D130" s="23">
        <v>2</v>
      </c>
      <c r="E130" s="23">
        <v>70.37</v>
      </c>
      <c r="F130" s="23">
        <v>1005</v>
      </c>
      <c r="G130" s="23">
        <v>7002</v>
      </c>
      <c r="H130" s="23"/>
    </row>
    <row r="131" spans="1:8" x14ac:dyDescent="0.35">
      <c r="A131" s="24" t="s">
        <v>93</v>
      </c>
      <c r="B131" s="24" t="s">
        <v>871</v>
      </c>
      <c r="C131" s="25" t="s">
        <v>872</v>
      </c>
      <c r="D131" s="25">
        <v>3</v>
      </c>
      <c r="E131" s="25">
        <v>98</v>
      </c>
      <c r="F131" s="25">
        <v>1395</v>
      </c>
      <c r="G131" s="25">
        <v>7025</v>
      </c>
      <c r="H131" s="25"/>
    </row>
    <row r="132" spans="1:8" x14ac:dyDescent="0.35">
      <c r="A132" s="22" t="s">
        <v>329</v>
      </c>
      <c r="B132" s="22" t="s">
        <v>871</v>
      </c>
      <c r="C132" s="23" t="s">
        <v>872</v>
      </c>
      <c r="D132" s="23">
        <v>3</v>
      </c>
      <c r="E132" s="23">
        <v>95</v>
      </c>
      <c r="F132" s="23">
        <v>1350</v>
      </c>
      <c r="G132" s="23">
        <v>7037</v>
      </c>
      <c r="H132" s="23"/>
    </row>
    <row r="133" spans="1:8" x14ac:dyDescent="0.35">
      <c r="A133" s="24" t="s">
        <v>906</v>
      </c>
      <c r="B133" s="24" t="s">
        <v>907</v>
      </c>
      <c r="C133" s="25" t="s">
        <v>872</v>
      </c>
      <c r="D133" s="25">
        <v>2</v>
      </c>
      <c r="E133" s="25">
        <v>85</v>
      </c>
      <c r="F133" s="25">
        <v>1207</v>
      </c>
      <c r="G133" s="25">
        <v>7042</v>
      </c>
      <c r="H133" s="25">
        <v>3.7</v>
      </c>
    </row>
    <row r="134" spans="1:8" x14ac:dyDescent="0.35">
      <c r="A134" s="22" t="s">
        <v>329</v>
      </c>
      <c r="B134" s="22" t="s">
        <v>884</v>
      </c>
      <c r="C134" s="23" t="s">
        <v>872</v>
      </c>
      <c r="D134" s="23">
        <v>3</v>
      </c>
      <c r="E134" s="23">
        <v>99</v>
      </c>
      <c r="F134" s="23">
        <v>1405</v>
      </c>
      <c r="G134" s="23">
        <v>7046</v>
      </c>
      <c r="H134" s="23"/>
    </row>
    <row r="135" spans="1:8" x14ac:dyDescent="0.35">
      <c r="A135" s="24" t="s">
        <v>638</v>
      </c>
      <c r="B135" s="24" t="s">
        <v>1030</v>
      </c>
      <c r="C135" s="25" t="s">
        <v>872</v>
      </c>
      <c r="D135" s="25">
        <v>3</v>
      </c>
      <c r="E135" s="25">
        <v>94</v>
      </c>
      <c r="F135" s="25">
        <v>1330</v>
      </c>
      <c r="G135" s="25">
        <v>7068</v>
      </c>
      <c r="H135" s="25"/>
    </row>
    <row r="136" spans="1:8" x14ac:dyDescent="0.35">
      <c r="A136" s="22" t="s">
        <v>93</v>
      </c>
      <c r="B136" s="22" t="s">
        <v>871</v>
      </c>
      <c r="C136" s="23" t="s">
        <v>872</v>
      </c>
      <c r="D136" s="23">
        <v>3</v>
      </c>
      <c r="E136" s="23">
        <v>105</v>
      </c>
      <c r="F136" s="23">
        <v>1485</v>
      </c>
      <c r="G136" s="23">
        <v>7071</v>
      </c>
      <c r="H136" s="23"/>
    </row>
    <row r="137" spans="1:8" x14ac:dyDescent="0.35">
      <c r="A137" s="24" t="s">
        <v>329</v>
      </c>
      <c r="B137" s="24" t="s">
        <v>884</v>
      </c>
      <c r="C137" s="25" t="s">
        <v>872</v>
      </c>
      <c r="D137" s="25">
        <v>3</v>
      </c>
      <c r="E137" s="25">
        <v>105</v>
      </c>
      <c r="F137" s="25">
        <v>1485</v>
      </c>
      <c r="G137" s="25">
        <v>7071</v>
      </c>
      <c r="H137" s="25"/>
    </row>
    <row r="138" spans="1:8" x14ac:dyDescent="0.35">
      <c r="A138" s="22" t="s">
        <v>225</v>
      </c>
      <c r="B138" s="22" t="s">
        <v>885</v>
      </c>
      <c r="C138" s="23" t="s">
        <v>872</v>
      </c>
      <c r="D138" s="23">
        <v>2</v>
      </c>
      <c r="E138" s="23">
        <v>80.78</v>
      </c>
      <c r="F138" s="23">
        <v>1141</v>
      </c>
      <c r="G138" s="23">
        <v>7080</v>
      </c>
      <c r="H138" s="23"/>
    </row>
    <row r="139" spans="1:8" x14ac:dyDescent="0.35">
      <c r="A139" s="24" t="s">
        <v>93</v>
      </c>
      <c r="B139" s="24" t="s">
        <v>871</v>
      </c>
      <c r="C139" s="25" t="s">
        <v>872</v>
      </c>
      <c r="D139" s="25">
        <v>3</v>
      </c>
      <c r="E139" s="25">
        <v>99</v>
      </c>
      <c r="F139" s="25">
        <v>1395</v>
      </c>
      <c r="G139" s="25">
        <v>7097</v>
      </c>
      <c r="H139" s="25"/>
    </row>
    <row r="140" spans="1:8" x14ac:dyDescent="0.35">
      <c r="A140" s="22" t="s">
        <v>978</v>
      </c>
      <c r="B140" s="22" t="s">
        <v>979</v>
      </c>
      <c r="C140" s="23" t="s">
        <v>872</v>
      </c>
      <c r="D140" s="23">
        <v>1</v>
      </c>
      <c r="E140" s="23">
        <v>57</v>
      </c>
      <c r="F140" s="23">
        <v>800</v>
      </c>
      <c r="G140" s="23">
        <v>7125</v>
      </c>
      <c r="H140" s="23">
        <v>3.8</v>
      </c>
    </row>
    <row r="141" spans="1:8" x14ac:dyDescent="0.35">
      <c r="A141" s="24" t="s">
        <v>329</v>
      </c>
      <c r="B141" s="24" t="s">
        <v>895</v>
      </c>
      <c r="C141" s="25" t="s">
        <v>872</v>
      </c>
      <c r="D141" s="25">
        <v>2</v>
      </c>
      <c r="E141" s="25">
        <v>89</v>
      </c>
      <c r="F141" s="25">
        <v>1245</v>
      </c>
      <c r="G141" s="25">
        <v>7149</v>
      </c>
      <c r="H141" s="25"/>
    </row>
    <row r="142" spans="1:8" x14ac:dyDescent="0.35">
      <c r="A142" s="22" t="s">
        <v>329</v>
      </c>
      <c r="B142" s="22" t="s">
        <v>884</v>
      </c>
      <c r="C142" s="23" t="s">
        <v>872</v>
      </c>
      <c r="D142" s="23">
        <v>2</v>
      </c>
      <c r="E142" s="23">
        <v>83</v>
      </c>
      <c r="F142" s="23">
        <v>1160</v>
      </c>
      <c r="G142" s="23">
        <v>7155</v>
      </c>
      <c r="H142" s="23"/>
    </row>
    <row r="143" spans="1:8" x14ac:dyDescent="0.35">
      <c r="A143" s="24" t="s">
        <v>225</v>
      </c>
      <c r="B143" s="24" t="s">
        <v>885</v>
      </c>
      <c r="C143" s="25" t="s">
        <v>872</v>
      </c>
      <c r="D143" s="25">
        <v>3</v>
      </c>
      <c r="E143" s="25">
        <v>111</v>
      </c>
      <c r="F143" s="25">
        <v>1551</v>
      </c>
      <c r="G143" s="25">
        <v>7157</v>
      </c>
      <c r="H143" s="25"/>
    </row>
    <row r="144" spans="1:8" x14ac:dyDescent="0.35">
      <c r="A144" s="22" t="s">
        <v>208</v>
      </c>
      <c r="B144" s="22" t="s">
        <v>11</v>
      </c>
      <c r="C144" s="23" t="s">
        <v>872</v>
      </c>
      <c r="D144" s="23">
        <v>2</v>
      </c>
      <c r="E144" s="23">
        <v>77</v>
      </c>
      <c r="F144" s="23">
        <v>1075</v>
      </c>
      <c r="G144" s="23">
        <v>7163</v>
      </c>
      <c r="H144" s="23"/>
    </row>
    <row r="145" spans="1:8" x14ac:dyDescent="0.35">
      <c r="A145" s="24" t="s">
        <v>329</v>
      </c>
      <c r="B145" s="24" t="s">
        <v>884</v>
      </c>
      <c r="C145" s="25" t="s">
        <v>872</v>
      </c>
      <c r="D145" s="25">
        <v>2</v>
      </c>
      <c r="E145" s="25">
        <v>72</v>
      </c>
      <c r="F145" s="25">
        <v>1005</v>
      </c>
      <c r="G145" s="25">
        <v>7164</v>
      </c>
      <c r="H145" s="25"/>
    </row>
    <row r="146" spans="1:8" x14ac:dyDescent="0.35">
      <c r="A146" s="22" t="s">
        <v>329</v>
      </c>
      <c r="B146" s="22" t="s">
        <v>954</v>
      </c>
      <c r="C146" s="23" t="s">
        <v>872</v>
      </c>
      <c r="D146" s="23">
        <v>2</v>
      </c>
      <c r="E146" s="23">
        <v>72</v>
      </c>
      <c r="F146" s="23">
        <v>1005</v>
      </c>
      <c r="G146" s="23">
        <v>7164</v>
      </c>
      <c r="H146" s="23"/>
    </row>
    <row r="147" spans="1:8" x14ac:dyDescent="0.35">
      <c r="A147" s="24" t="s">
        <v>994</v>
      </c>
      <c r="B147" s="24" t="s">
        <v>883</v>
      </c>
      <c r="C147" s="25" t="s">
        <v>872</v>
      </c>
      <c r="D147" s="25">
        <v>3</v>
      </c>
      <c r="E147" s="25">
        <v>111</v>
      </c>
      <c r="F147" s="25">
        <v>1549</v>
      </c>
      <c r="G147" s="25">
        <v>7166</v>
      </c>
      <c r="H147" s="25"/>
    </row>
    <row r="148" spans="1:8" x14ac:dyDescent="0.35">
      <c r="A148" s="22" t="s">
        <v>858</v>
      </c>
      <c r="B148" s="22" t="s">
        <v>1099</v>
      </c>
      <c r="C148" s="23" t="s">
        <v>872</v>
      </c>
      <c r="D148" s="23">
        <v>3</v>
      </c>
      <c r="E148" s="23">
        <v>95</v>
      </c>
      <c r="F148" s="23">
        <v>1320</v>
      </c>
      <c r="G148" s="23">
        <v>7197</v>
      </c>
      <c r="H148" s="23"/>
    </row>
    <row r="149" spans="1:8" x14ac:dyDescent="0.35">
      <c r="A149" s="24" t="s">
        <v>93</v>
      </c>
      <c r="B149" s="24" t="s">
        <v>884</v>
      </c>
      <c r="C149" s="25" t="s">
        <v>872</v>
      </c>
      <c r="D149" s="25">
        <v>3</v>
      </c>
      <c r="E149" s="25">
        <v>107</v>
      </c>
      <c r="F149" s="25">
        <v>1485</v>
      </c>
      <c r="G149" s="25">
        <v>7205</v>
      </c>
      <c r="H149" s="25"/>
    </row>
    <row r="150" spans="1:8" x14ac:dyDescent="0.35">
      <c r="A150" s="22" t="s">
        <v>225</v>
      </c>
      <c r="B150" s="22" t="s">
        <v>885</v>
      </c>
      <c r="C150" s="23" t="s">
        <v>872</v>
      </c>
      <c r="D150" s="23">
        <v>2</v>
      </c>
      <c r="E150" s="23">
        <v>83.2</v>
      </c>
      <c r="F150" s="23">
        <v>1154</v>
      </c>
      <c r="G150" s="23">
        <v>7210</v>
      </c>
      <c r="H150" s="23"/>
    </row>
    <row r="151" spans="1:8" x14ac:dyDescent="0.35">
      <c r="A151" s="24" t="s">
        <v>93</v>
      </c>
      <c r="B151" s="24" t="s">
        <v>884</v>
      </c>
      <c r="C151" s="25" t="s">
        <v>872</v>
      </c>
      <c r="D151" s="25">
        <v>3</v>
      </c>
      <c r="E151" s="25">
        <v>101</v>
      </c>
      <c r="F151" s="25">
        <v>1395</v>
      </c>
      <c r="G151" s="25">
        <v>7240</v>
      </c>
      <c r="H151" s="25"/>
    </row>
    <row r="152" spans="1:8" x14ac:dyDescent="0.35">
      <c r="A152" s="22" t="s">
        <v>225</v>
      </c>
      <c r="B152" s="22" t="s">
        <v>922</v>
      </c>
      <c r="C152" s="23" t="s">
        <v>872</v>
      </c>
      <c r="D152" s="23">
        <v>2</v>
      </c>
      <c r="E152" s="23">
        <v>86.71</v>
      </c>
      <c r="F152" s="23">
        <v>1196</v>
      </c>
      <c r="G152" s="23">
        <v>7250</v>
      </c>
      <c r="H152" s="23"/>
    </row>
    <row r="153" spans="1:8" x14ac:dyDescent="0.35">
      <c r="A153" s="24" t="s">
        <v>329</v>
      </c>
      <c r="B153" s="24" t="s">
        <v>954</v>
      </c>
      <c r="C153" s="25" t="s">
        <v>872</v>
      </c>
      <c r="D153" s="25">
        <v>3</v>
      </c>
      <c r="E153" s="25">
        <v>98</v>
      </c>
      <c r="F153" s="25">
        <v>1350</v>
      </c>
      <c r="G153" s="25">
        <v>7259</v>
      </c>
      <c r="H153" s="25"/>
    </row>
    <row r="154" spans="1:8" x14ac:dyDescent="0.35">
      <c r="A154" s="22" t="s">
        <v>329</v>
      </c>
      <c r="B154" s="22" t="s">
        <v>871</v>
      </c>
      <c r="C154" s="23" t="s">
        <v>872</v>
      </c>
      <c r="D154" s="23">
        <v>3</v>
      </c>
      <c r="E154" s="23">
        <v>102</v>
      </c>
      <c r="F154" s="23">
        <v>1405</v>
      </c>
      <c r="G154" s="23">
        <v>7260</v>
      </c>
      <c r="H154" s="23"/>
    </row>
    <row r="155" spans="1:8" x14ac:dyDescent="0.35">
      <c r="A155" s="24" t="s">
        <v>329</v>
      </c>
      <c r="B155" s="24" t="s">
        <v>871</v>
      </c>
      <c r="C155" s="25" t="s">
        <v>872</v>
      </c>
      <c r="D155" s="25">
        <v>3</v>
      </c>
      <c r="E155" s="25">
        <v>108</v>
      </c>
      <c r="F155" s="25">
        <v>1485</v>
      </c>
      <c r="G155" s="25">
        <v>7273</v>
      </c>
      <c r="H155" s="25"/>
    </row>
    <row r="156" spans="1:8" x14ac:dyDescent="0.35">
      <c r="A156" s="22" t="s">
        <v>940</v>
      </c>
      <c r="B156" s="22" t="s">
        <v>941</v>
      </c>
      <c r="C156" s="23" t="s">
        <v>872</v>
      </c>
      <c r="D156" s="23">
        <v>3</v>
      </c>
      <c r="E156" s="23">
        <v>106</v>
      </c>
      <c r="F156" s="23">
        <v>1456</v>
      </c>
      <c r="G156" s="23">
        <v>7280</v>
      </c>
      <c r="H156" s="23"/>
    </row>
    <row r="157" spans="1:8" x14ac:dyDescent="0.35">
      <c r="A157" s="24" t="s">
        <v>329</v>
      </c>
      <c r="B157" s="24" t="s">
        <v>954</v>
      </c>
      <c r="C157" s="25" t="s">
        <v>872</v>
      </c>
      <c r="D157" s="25">
        <v>2</v>
      </c>
      <c r="E157" s="25">
        <v>84.5</v>
      </c>
      <c r="F157" s="25">
        <v>1160</v>
      </c>
      <c r="G157" s="25">
        <v>7284</v>
      </c>
      <c r="H157" s="25"/>
    </row>
    <row r="158" spans="1:8" x14ac:dyDescent="0.35">
      <c r="A158" s="22" t="s">
        <v>940</v>
      </c>
      <c r="B158" s="22" t="s">
        <v>941</v>
      </c>
      <c r="C158" s="23" t="s">
        <v>872</v>
      </c>
      <c r="D158" s="23">
        <v>3</v>
      </c>
      <c r="E158" s="23">
        <v>102</v>
      </c>
      <c r="F158" s="23">
        <v>1398</v>
      </c>
      <c r="G158" s="23">
        <v>7296</v>
      </c>
      <c r="H158" s="23"/>
    </row>
    <row r="159" spans="1:8" x14ac:dyDescent="0.35">
      <c r="A159" s="24" t="s">
        <v>978</v>
      </c>
      <c r="B159" s="24" t="s">
        <v>979</v>
      </c>
      <c r="C159" s="25" t="s">
        <v>872</v>
      </c>
      <c r="D159" s="25">
        <v>2</v>
      </c>
      <c r="E159" s="25">
        <v>74.5</v>
      </c>
      <c r="F159" s="25">
        <v>1021</v>
      </c>
      <c r="G159" s="25">
        <v>7297</v>
      </c>
      <c r="H159" s="25">
        <v>3.8</v>
      </c>
    </row>
    <row r="160" spans="1:8" x14ac:dyDescent="0.35">
      <c r="A160" s="22" t="s">
        <v>470</v>
      </c>
      <c r="B160" s="22" t="s">
        <v>983</v>
      </c>
      <c r="C160" s="23" t="s">
        <v>872</v>
      </c>
      <c r="D160" s="23">
        <v>2</v>
      </c>
      <c r="E160" s="23">
        <v>75</v>
      </c>
      <c r="F160" s="23">
        <v>1025</v>
      </c>
      <c r="G160" s="23">
        <v>7317</v>
      </c>
      <c r="H160" s="23"/>
    </row>
    <row r="161" spans="1:8" x14ac:dyDescent="0.35">
      <c r="A161" s="24" t="s">
        <v>933</v>
      </c>
      <c r="B161" s="24" t="s">
        <v>934</v>
      </c>
      <c r="C161" s="25" t="s">
        <v>872</v>
      </c>
      <c r="D161" s="25">
        <v>2</v>
      </c>
      <c r="E161" s="25">
        <v>75</v>
      </c>
      <c r="F161" s="25">
        <v>1020</v>
      </c>
      <c r="G161" s="25">
        <v>7353</v>
      </c>
      <c r="H161" s="25">
        <v>4</v>
      </c>
    </row>
    <row r="162" spans="1:8" x14ac:dyDescent="0.35">
      <c r="A162" s="22" t="s">
        <v>978</v>
      </c>
      <c r="B162" s="22" t="s">
        <v>979</v>
      </c>
      <c r="C162" s="23" t="s">
        <v>872</v>
      </c>
      <c r="D162" s="23">
        <v>2</v>
      </c>
      <c r="E162" s="23">
        <v>75.2</v>
      </c>
      <c r="F162" s="23">
        <v>1021</v>
      </c>
      <c r="G162" s="23">
        <v>7365</v>
      </c>
      <c r="H162" s="23">
        <v>3.8</v>
      </c>
    </row>
    <row r="163" spans="1:8" x14ac:dyDescent="0.35">
      <c r="A163" s="24" t="s">
        <v>329</v>
      </c>
      <c r="B163" s="24" t="s">
        <v>871</v>
      </c>
      <c r="C163" s="25" t="s">
        <v>872</v>
      </c>
      <c r="D163" s="25">
        <v>2</v>
      </c>
      <c r="E163" s="25">
        <v>75</v>
      </c>
      <c r="F163" s="25">
        <v>1005</v>
      </c>
      <c r="G163" s="25">
        <v>7463</v>
      </c>
      <c r="H163" s="25"/>
    </row>
    <row r="164" spans="1:8" x14ac:dyDescent="0.35">
      <c r="A164" s="22" t="s">
        <v>951</v>
      </c>
      <c r="B164" s="22" t="s">
        <v>952</v>
      </c>
      <c r="C164" s="23" t="s">
        <v>872</v>
      </c>
      <c r="D164" s="23">
        <v>3</v>
      </c>
      <c r="E164" s="23">
        <v>111</v>
      </c>
      <c r="F164" s="23">
        <v>1483</v>
      </c>
      <c r="G164" s="23">
        <v>7485</v>
      </c>
      <c r="H164" s="23"/>
    </row>
    <row r="165" spans="1:8" x14ac:dyDescent="0.35">
      <c r="A165" s="24" t="s">
        <v>978</v>
      </c>
      <c r="B165" s="24" t="s">
        <v>979</v>
      </c>
      <c r="C165" s="25" t="s">
        <v>872</v>
      </c>
      <c r="D165" s="25">
        <v>2</v>
      </c>
      <c r="E165" s="25">
        <v>74.900000000000006</v>
      </c>
      <c r="F165" s="25">
        <v>1000</v>
      </c>
      <c r="G165" s="25">
        <v>7490</v>
      </c>
      <c r="H165" s="25">
        <v>3.8</v>
      </c>
    </row>
    <row r="166" spans="1:8" x14ac:dyDescent="0.35">
      <c r="A166" s="22" t="s">
        <v>951</v>
      </c>
      <c r="B166" s="22" t="s">
        <v>952</v>
      </c>
      <c r="C166" s="23" t="s">
        <v>872</v>
      </c>
      <c r="D166" s="23">
        <v>2</v>
      </c>
      <c r="E166" s="23">
        <v>87</v>
      </c>
      <c r="F166" s="23">
        <v>1160</v>
      </c>
      <c r="G166" s="23">
        <v>7500</v>
      </c>
      <c r="H166" s="23"/>
    </row>
    <row r="167" spans="1:8" x14ac:dyDescent="0.35">
      <c r="A167" s="24" t="s">
        <v>951</v>
      </c>
      <c r="B167" s="24" t="s">
        <v>952</v>
      </c>
      <c r="C167" s="25" t="s">
        <v>872</v>
      </c>
      <c r="D167" s="25">
        <v>2</v>
      </c>
      <c r="E167" s="25">
        <v>92.25</v>
      </c>
      <c r="F167" s="25">
        <v>1230</v>
      </c>
      <c r="G167" s="25">
        <v>7500</v>
      </c>
      <c r="H167" s="25"/>
    </row>
    <row r="168" spans="1:8" x14ac:dyDescent="0.35">
      <c r="A168" s="22" t="s">
        <v>437</v>
      </c>
      <c r="B168" s="22" t="s">
        <v>975</v>
      </c>
      <c r="C168" s="23" t="s">
        <v>872</v>
      </c>
      <c r="D168" s="23">
        <v>3</v>
      </c>
      <c r="E168" s="23">
        <v>180</v>
      </c>
      <c r="F168" s="23">
        <v>2400</v>
      </c>
      <c r="G168" s="23">
        <v>7500</v>
      </c>
      <c r="H168" s="23"/>
    </row>
    <row r="169" spans="1:8" x14ac:dyDescent="0.35">
      <c r="A169" s="24" t="s">
        <v>951</v>
      </c>
      <c r="B169" s="24" t="s">
        <v>952</v>
      </c>
      <c r="C169" s="25" t="s">
        <v>872</v>
      </c>
      <c r="D169" s="25">
        <v>2</v>
      </c>
      <c r="E169" s="25">
        <v>91.43</v>
      </c>
      <c r="F169" s="25">
        <v>1219</v>
      </c>
      <c r="G169" s="25">
        <v>7500</v>
      </c>
      <c r="H169" s="25"/>
    </row>
    <row r="170" spans="1:8" x14ac:dyDescent="0.35">
      <c r="A170" s="22" t="s">
        <v>951</v>
      </c>
      <c r="B170" s="22" t="s">
        <v>952</v>
      </c>
      <c r="C170" s="23" t="s">
        <v>872</v>
      </c>
      <c r="D170" s="23">
        <v>2</v>
      </c>
      <c r="E170" s="23">
        <v>94.5</v>
      </c>
      <c r="F170" s="23">
        <v>1260</v>
      </c>
      <c r="G170" s="23">
        <v>7500</v>
      </c>
      <c r="H170" s="23"/>
    </row>
    <row r="171" spans="1:8" x14ac:dyDescent="0.35">
      <c r="A171" s="24" t="s">
        <v>982</v>
      </c>
      <c r="B171" s="24" t="s">
        <v>952</v>
      </c>
      <c r="C171" s="25" t="s">
        <v>872</v>
      </c>
      <c r="D171" s="25">
        <v>2</v>
      </c>
      <c r="E171" s="25">
        <v>90.3</v>
      </c>
      <c r="F171" s="25">
        <v>1204</v>
      </c>
      <c r="G171" s="25">
        <v>7500</v>
      </c>
      <c r="H171" s="25"/>
    </row>
    <row r="172" spans="1:8" x14ac:dyDescent="0.35">
      <c r="A172" s="22" t="s">
        <v>1049</v>
      </c>
      <c r="B172" s="22" t="s">
        <v>902</v>
      </c>
      <c r="C172" s="23" t="s">
        <v>872</v>
      </c>
      <c r="D172" s="23">
        <v>3</v>
      </c>
      <c r="E172" s="23">
        <v>119</v>
      </c>
      <c r="F172" s="23">
        <v>1580</v>
      </c>
      <c r="G172" s="23">
        <v>7532</v>
      </c>
      <c r="H172" s="23"/>
    </row>
    <row r="173" spans="1:8" x14ac:dyDescent="0.35">
      <c r="A173" s="24" t="s">
        <v>634</v>
      </c>
      <c r="B173" s="24" t="s">
        <v>1029</v>
      </c>
      <c r="C173" s="25" t="s">
        <v>872</v>
      </c>
      <c r="D173" s="25">
        <v>2</v>
      </c>
      <c r="E173" s="25">
        <v>89</v>
      </c>
      <c r="F173" s="25">
        <v>1175</v>
      </c>
      <c r="G173" s="25">
        <v>7574</v>
      </c>
      <c r="H173" s="25"/>
    </row>
    <row r="174" spans="1:8" x14ac:dyDescent="0.35">
      <c r="A174" s="22" t="s">
        <v>138</v>
      </c>
      <c r="B174" s="22" t="s">
        <v>871</v>
      </c>
      <c r="C174" s="23" t="s">
        <v>872</v>
      </c>
      <c r="D174" s="23">
        <v>3</v>
      </c>
      <c r="E174" s="23">
        <v>110</v>
      </c>
      <c r="F174" s="23">
        <v>1450</v>
      </c>
      <c r="G174" s="23">
        <v>7586</v>
      </c>
      <c r="H174" s="23"/>
    </row>
    <row r="175" spans="1:8" x14ac:dyDescent="0.35">
      <c r="A175" s="24" t="s">
        <v>889</v>
      </c>
      <c r="B175" s="24" t="s">
        <v>890</v>
      </c>
      <c r="C175" s="25" t="s">
        <v>872</v>
      </c>
      <c r="D175" s="25">
        <v>2</v>
      </c>
      <c r="E175" s="25">
        <v>67</v>
      </c>
      <c r="F175" s="25">
        <v>880</v>
      </c>
      <c r="G175" s="25">
        <v>7614</v>
      </c>
      <c r="H175" s="25">
        <v>4.3</v>
      </c>
    </row>
    <row r="176" spans="1:8" x14ac:dyDescent="0.35">
      <c r="A176" s="22" t="s">
        <v>93</v>
      </c>
      <c r="B176" s="22" t="s">
        <v>953</v>
      </c>
      <c r="C176" s="23" t="s">
        <v>872</v>
      </c>
      <c r="D176" s="23">
        <v>2</v>
      </c>
      <c r="E176" s="23">
        <v>95</v>
      </c>
      <c r="F176" s="23">
        <v>1245</v>
      </c>
      <c r="G176" s="23">
        <v>7631</v>
      </c>
      <c r="H176" s="23"/>
    </row>
    <row r="177" spans="1:8" x14ac:dyDescent="0.35">
      <c r="A177" s="24" t="s">
        <v>1094</v>
      </c>
      <c r="B177" s="24" t="s">
        <v>898</v>
      </c>
      <c r="C177" s="25" t="s">
        <v>872</v>
      </c>
      <c r="D177" s="25">
        <v>3</v>
      </c>
      <c r="E177" s="25">
        <v>115</v>
      </c>
      <c r="F177" s="25">
        <v>1500</v>
      </c>
      <c r="G177" s="25">
        <v>7667</v>
      </c>
      <c r="H177" s="25">
        <v>3.9</v>
      </c>
    </row>
    <row r="178" spans="1:8" x14ac:dyDescent="0.35">
      <c r="A178" s="22" t="s">
        <v>933</v>
      </c>
      <c r="B178" s="22" t="s">
        <v>934</v>
      </c>
      <c r="C178" s="23" t="s">
        <v>872</v>
      </c>
      <c r="D178" s="23">
        <v>3</v>
      </c>
      <c r="E178" s="23">
        <v>100</v>
      </c>
      <c r="F178" s="23">
        <v>1300</v>
      </c>
      <c r="G178" s="23">
        <v>7692</v>
      </c>
      <c r="H178" s="23">
        <v>4</v>
      </c>
    </row>
    <row r="179" spans="1:8" x14ac:dyDescent="0.35">
      <c r="A179" s="24" t="s">
        <v>978</v>
      </c>
      <c r="B179" s="24" t="s">
        <v>979</v>
      </c>
      <c r="C179" s="25" t="s">
        <v>872</v>
      </c>
      <c r="D179" s="25">
        <v>2</v>
      </c>
      <c r="E179" s="25">
        <v>74.55</v>
      </c>
      <c r="F179" s="25">
        <v>969</v>
      </c>
      <c r="G179" s="25">
        <v>7693</v>
      </c>
      <c r="H179" s="25">
        <v>3.8</v>
      </c>
    </row>
    <row r="180" spans="1:8" x14ac:dyDescent="0.35">
      <c r="A180" s="22" t="s">
        <v>933</v>
      </c>
      <c r="B180" s="22" t="s">
        <v>934</v>
      </c>
      <c r="C180" s="23" t="s">
        <v>872</v>
      </c>
      <c r="D180" s="23">
        <v>2</v>
      </c>
      <c r="E180" s="23">
        <v>79</v>
      </c>
      <c r="F180" s="23">
        <v>1020</v>
      </c>
      <c r="G180" s="23">
        <v>7745</v>
      </c>
      <c r="H180" s="23">
        <v>4</v>
      </c>
    </row>
    <row r="181" spans="1:8" x14ac:dyDescent="0.35">
      <c r="A181" s="24" t="s">
        <v>978</v>
      </c>
      <c r="B181" s="24" t="s">
        <v>979</v>
      </c>
      <c r="C181" s="25" t="s">
        <v>872</v>
      </c>
      <c r="D181" s="25">
        <v>2</v>
      </c>
      <c r="E181" s="25">
        <v>75.099999999999994</v>
      </c>
      <c r="F181" s="25">
        <v>969</v>
      </c>
      <c r="G181" s="25">
        <v>7750</v>
      </c>
      <c r="H181" s="25">
        <v>3.8</v>
      </c>
    </row>
    <row r="182" spans="1:8" x14ac:dyDescent="0.35">
      <c r="A182" s="22" t="s">
        <v>978</v>
      </c>
      <c r="B182" s="22" t="s">
        <v>979</v>
      </c>
      <c r="C182" s="23" t="s">
        <v>872</v>
      </c>
      <c r="D182" s="23">
        <v>1</v>
      </c>
      <c r="E182" s="23">
        <v>54.68</v>
      </c>
      <c r="F182" s="23">
        <v>699</v>
      </c>
      <c r="G182" s="23">
        <v>7823</v>
      </c>
      <c r="H182" s="23">
        <v>3.8</v>
      </c>
    </row>
    <row r="183" spans="1:8" x14ac:dyDescent="0.35">
      <c r="A183" s="24" t="s">
        <v>978</v>
      </c>
      <c r="B183" s="24" t="s">
        <v>979</v>
      </c>
      <c r="C183" s="25" t="s">
        <v>872</v>
      </c>
      <c r="D183" s="25">
        <v>1</v>
      </c>
      <c r="E183" s="25">
        <v>54</v>
      </c>
      <c r="F183" s="25">
        <v>688</v>
      </c>
      <c r="G183" s="25">
        <v>7849</v>
      </c>
      <c r="H183" s="25">
        <v>3.8</v>
      </c>
    </row>
    <row r="184" spans="1:8" x14ac:dyDescent="0.35">
      <c r="A184" s="22" t="s">
        <v>906</v>
      </c>
      <c r="B184" s="22" t="s">
        <v>907</v>
      </c>
      <c r="C184" s="23" t="s">
        <v>872</v>
      </c>
      <c r="D184" s="23">
        <v>2</v>
      </c>
      <c r="E184" s="23">
        <v>90</v>
      </c>
      <c r="F184" s="23">
        <v>1144</v>
      </c>
      <c r="G184" s="23">
        <v>7867</v>
      </c>
      <c r="H184" s="23">
        <v>3.7</v>
      </c>
    </row>
    <row r="185" spans="1:8" x14ac:dyDescent="0.35">
      <c r="A185" s="24" t="s">
        <v>634</v>
      </c>
      <c r="B185" s="24" t="s">
        <v>1029</v>
      </c>
      <c r="C185" s="25" t="s">
        <v>872</v>
      </c>
      <c r="D185" s="25">
        <v>3</v>
      </c>
      <c r="E185" s="25">
        <v>134</v>
      </c>
      <c r="F185" s="25">
        <v>1701</v>
      </c>
      <c r="G185" s="25">
        <v>7878</v>
      </c>
      <c r="H185" s="25"/>
    </row>
    <row r="186" spans="1:8" x14ac:dyDescent="0.35">
      <c r="A186" s="22" t="s">
        <v>978</v>
      </c>
      <c r="B186" s="22" t="s">
        <v>979</v>
      </c>
      <c r="C186" s="23" t="s">
        <v>872</v>
      </c>
      <c r="D186" s="23">
        <v>1</v>
      </c>
      <c r="E186" s="23">
        <v>54.5</v>
      </c>
      <c r="F186" s="23">
        <v>688</v>
      </c>
      <c r="G186" s="23">
        <v>7922</v>
      </c>
      <c r="H186" s="23">
        <v>3.8</v>
      </c>
    </row>
    <row r="187" spans="1:8" x14ac:dyDescent="0.35">
      <c r="A187" s="24" t="s">
        <v>960</v>
      </c>
      <c r="B187" s="24" t="s">
        <v>961</v>
      </c>
      <c r="C187" s="25" t="s">
        <v>872</v>
      </c>
      <c r="D187" s="25">
        <v>2</v>
      </c>
      <c r="E187" s="25">
        <v>78</v>
      </c>
      <c r="F187" s="25">
        <v>970</v>
      </c>
      <c r="G187" s="25">
        <v>8041</v>
      </c>
      <c r="H187" s="25">
        <v>3.5</v>
      </c>
    </row>
    <row r="188" spans="1:8" x14ac:dyDescent="0.35">
      <c r="A188" s="22" t="s">
        <v>170</v>
      </c>
      <c r="B188" s="22" t="s">
        <v>905</v>
      </c>
      <c r="C188" s="23" t="s">
        <v>872</v>
      </c>
      <c r="D188" s="23">
        <v>3</v>
      </c>
      <c r="E188" s="23">
        <v>143</v>
      </c>
      <c r="F188" s="23">
        <v>1778</v>
      </c>
      <c r="G188" s="23">
        <v>8043</v>
      </c>
      <c r="H188" s="23"/>
    </row>
    <row r="189" spans="1:8" x14ac:dyDescent="0.35">
      <c r="A189" s="24" t="s">
        <v>1023</v>
      </c>
      <c r="B189" s="24" t="s">
        <v>1024</v>
      </c>
      <c r="C189" s="25" t="s">
        <v>872</v>
      </c>
      <c r="D189" s="25">
        <v>3</v>
      </c>
      <c r="E189" s="25">
        <v>115</v>
      </c>
      <c r="F189" s="25">
        <v>1428</v>
      </c>
      <c r="G189" s="25">
        <v>8053</v>
      </c>
      <c r="H189" s="25">
        <v>3.8</v>
      </c>
    </row>
    <row r="190" spans="1:8" x14ac:dyDescent="0.35">
      <c r="A190" s="22" t="s">
        <v>836</v>
      </c>
      <c r="B190" s="22" t="s">
        <v>1082</v>
      </c>
      <c r="C190" s="23" t="s">
        <v>872</v>
      </c>
      <c r="D190" s="23">
        <v>3</v>
      </c>
      <c r="E190" s="23">
        <v>130</v>
      </c>
      <c r="F190" s="23">
        <v>1600</v>
      </c>
      <c r="G190" s="23">
        <v>8125</v>
      </c>
      <c r="H190" s="23"/>
    </row>
    <row r="191" spans="1:8" x14ac:dyDescent="0.35">
      <c r="A191" s="24" t="s">
        <v>367</v>
      </c>
      <c r="B191" s="24" t="s">
        <v>963</v>
      </c>
      <c r="C191" s="25" t="s">
        <v>872</v>
      </c>
      <c r="D191" s="25">
        <v>2</v>
      </c>
      <c r="E191" s="25">
        <v>90</v>
      </c>
      <c r="F191" s="25">
        <v>1100</v>
      </c>
      <c r="G191" s="25">
        <v>8182</v>
      </c>
      <c r="H191" s="25"/>
    </row>
    <row r="192" spans="1:8" x14ac:dyDescent="0.35">
      <c r="A192" s="22" t="s">
        <v>354</v>
      </c>
      <c r="B192" s="22" t="s">
        <v>884</v>
      </c>
      <c r="C192" s="23" t="s">
        <v>872</v>
      </c>
      <c r="D192" s="23">
        <v>3</v>
      </c>
      <c r="E192" s="23">
        <v>90</v>
      </c>
      <c r="F192" s="23">
        <v>1087</v>
      </c>
      <c r="G192" s="23">
        <v>8280</v>
      </c>
      <c r="H192" s="23"/>
    </row>
    <row r="193" spans="1:8" x14ac:dyDescent="0.35">
      <c r="A193" s="24" t="s">
        <v>454</v>
      </c>
      <c r="B193" s="24" t="s">
        <v>907</v>
      </c>
      <c r="C193" s="25" t="s">
        <v>872</v>
      </c>
      <c r="D193" s="25">
        <v>2</v>
      </c>
      <c r="E193" s="25">
        <v>85</v>
      </c>
      <c r="F193" s="25">
        <v>1020</v>
      </c>
      <c r="G193" s="25">
        <v>8333</v>
      </c>
      <c r="H193" s="25"/>
    </row>
    <row r="194" spans="1:8" x14ac:dyDescent="0.35">
      <c r="A194" s="22" t="s">
        <v>1012</v>
      </c>
      <c r="B194" s="22" t="s">
        <v>1013</v>
      </c>
      <c r="C194" s="23" t="s">
        <v>872</v>
      </c>
      <c r="D194" s="23">
        <v>2</v>
      </c>
      <c r="E194" s="23">
        <v>86</v>
      </c>
      <c r="F194" s="23">
        <v>1027</v>
      </c>
      <c r="G194" s="23">
        <v>8374</v>
      </c>
      <c r="H194" s="23"/>
    </row>
    <row r="195" spans="1:8" x14ac:dyDescent="0.35">
      <c r="A195" s="24" t="s">
        <v>1074</v>
      </c>
      <c r="B195" s="24" t="s">
        <v>975</v>
      </c>
      <c r="C195" s="25" t="s">
        <v>872</v>
      </c>
      <c r="D195" s="25">
        <v>3</v>
      </c>
      <c r="E195" s="25">
        <v>102</v>
      </c>
      <c r="F195" s="25">
        <v>1210</v>
      </c>
      <c r="G195" s="25">
        <v>8430</v>
      </c>
      <c r="H195" s="25">
        <v>3.9</v>
      </c>
    </row>
    <row r="196" spans="1:8" x14ac:dyDescent="0.35">
      <c r="A196" s="22" t="s">
        <v>943</v>
      </c>
      <c r="B196" s="22" t="s">
        <v>944</v>
      </c>
      <c r="C196" s="23" t="s">
        <v>872</v>
      </c>
      <c r="D196" s="23">
        <v>3</v>
      </c>
      <c r="E196" s="23">
        <v>145</v>
      </c>
      <c r="F196" s="23">
        <v>1710</v>
      </c>
      <c r="G196" s="23">
        <v>8480</v>
      </c>
      <c r="H196" s="23">
        <v>3.9</v>
      </c>
    </row>
    <row r="197" spans="1:8" ht="23" x14ac:dyDescent="0.35">
      <c r="A197" s="24" t="s">
        <v>896</v>
      </c>
      <c r="B197" s="24" t="s">
        <v>897</v>
      </c>
      <c r="C197" s="25" t="s">
        <v>872</v>
      </c>
      <c r="D197" s="25">
        <v>3</v>
      </c>
      <c r="E197" s="25">
        <v>188</v>
      </c>
      <c r="F197" s="25">
        <v>2200</v>
      </c>
      <c r="G197" s="25">
        <v>8545</v>
      </c>
      <c r="H197" s="25"/>
    </row>
    <row r="198" spans="1:8" x14ac:dyDescent="0.35">
      <c r="A198" s="22" t="s">
        <v>1027</v>
      </c>
      <c r="B198" s="22" t="s">
        <v>1013</v>
      </c>
      <c r="C198" s="23" t="s">
        <v>872</v>
      </c>
      <c r="D198" s="23">
        <v>2</v>
      </c>
      <c r="E198" s="23">
        <v>106</v>
      </c>
      <c r="F198" s="23">
        <v>1230</v>
      </c>
      <c r="G198" s="23">
        <v>8618</v>
      </c>
      <c r="H198" s="23">
        <v>3.4</v>
      </c>
    </row>
    <row r="199" spans="1:8" x14ac:dyDescent="0.35">
      <c r="A199" s="24" t="s">
        <v>1025</v>
      </c>
      <c r="B199" s="24" t="s">
        <v>910</v>
      </c>
      <c r="C199" s="25" t="s">
        <v>872</v>
      </c>
      <c r="D199" s="25">
        <v>3</v>
      </c>
      <c r="E199" s="25">
        <v>96</v>
      </c>
      <c r="F199" s="25">
        <v>1108</v>
      </c>
      <c r="G199" s="25">
        <v>8664</v>
      </c>
      <c r="H199" s="25">
        <v>4.0999999999999996</v>
      </c>
    </row>
    <row r="200" spans="1:8" x14ac:dyDescent="0.35">
      <c r="A200" s="22" t="s">
        <v>89</v>
      </c>
      <c r="B200" s="22" t="s">
        <v>883</v>
      </c>
      <c r="C200" s="23" t="s">
        <v>872</v>
      </c>
      <c r="D200" s="23">
        <v>2</v>
      </c>
      <c r="E200" s="23">
        <v>109</v>
      </c>
      <c r="F200" s="23">
        <v>1258</v>
      </c>
      <c r="G200" s="23">
        <v>8665</v>
      </c>
      <c r="H200" s="23"/>
    </row>
    <row r="201" spans="1:8" x14ac:dyDescent="0.35">
      <c r="A201" s="24" t="s">
        <v>1050</v>
      </c>
      <c r="B201" s="24" t="s">
        <v>1051</v>
      </c>
      <c r="C201" s="25" t="s">
        <v>872</v>
      </c>
      <c r="D201" s="25">
        <v>3</v>
      </c>
      <c r="E201" s="25">
        <v>117</v>
      </c>
      <c r="F201" s="25">
        <v>1347</v>
      </c>
      <c r="G201" s="25">
        <v>8686</v>
      </c>
      <c r="H201" s="25"/>
    </row>
    <row r="202" spans="1:8" x14ac:dyDescent="0.35">
      <c r="A202" s="22" t="s">
        <v>433</v>
      </c>
      <c r="B202" s="22" t="s">
        <v>963</v>
      </c>
      <c r="C202" s="23" t="s">
        <v>872</v>
      </c>
      <c r="D202" s="23">
        <v>3</v>
      </c>
      <c r="E202" s="23">
        <v>140</v>
      </c>
      <c r="F202" s="23">
        <v>1600</v>
      </c>
      <c r="G202" s="23">
        <v>8750</v>
      </c>
      <c r="H202" s="23"/>
    </row>
    <row r="203" spans="1:8" x14ac:dyDescent="0.35">
      <c r="A203" s="24" t="s">
        <v>89</v>
      </c>
      <c r="B203" s="24" t="s">
        <v>883</v>
      </c>
      <c r="C203" s="25" t="s">
        <v>872</v>
      </c>
      <c r="D203" s="25">
        <v>2</v>
      </c>
      <c r="E203" s="25">
        <v>112</v>
      </c>
      <c r="F203" s="25">
        <v>1271</v>
      </c>
      <c r="G203" s="25">
        <v>8812</v>
      </c>
      <c r="H203" s="25"/>
    </row>
    <row r="204" spans="1:8" x14ac:dyDescent="0.35">
      <c r="A204" s="22" t="s">
        <v>991</v>
      </c>
      <c r="B204" s="22" t="s">
        <v>992</v>
      </c>
      <c r="C204" s="23" t="s">
        <v>872</v>
      </c>
      <c r="D204" s="23">
        <v>3</v>
      </c>
      <c r="E204" s="23">
        <v>108</v>
      </c>
      <c r="F204" s="23">
        <v>1225</v>
      </c>
      <c r="G204" s="23">
        <v>8816</v>
      </c>
      <c r="H204" s="23">
        <v>4</v>
      </c>
    </row>
    <row r="205" spans="1:8" x14ac:dyDescent="0.35">
      <c r="A205" s="24" t="s">
        <v>587</v>
      </c>
      <c r="B205" s="24" t="s">
        <v>1017</v>
      </c>
      <c r="C205" s="25" t="s">
        <v>872</v>
      </c>
      <c r="D205" s="25">
        <v>3</v>
      </c>
      <c r="E205" s="25">
        <v>150</v>
      </c>
      <c r="F205" s="25">
        <v>1700</v>
      </c>
      <c r="G205" s="25">
        <v>8824</v>
      </c>
      <c r="H205" s="25"/>
    </row>
    <row r="206" spans="1:8" x14ac:dyDescent="0.35">
      <c r="A206" s="22" t="s">
        <v>900</v>
      </c>
      <c r="B206" s="22" t="s">
        <v>901</v>
      </c>
      <c r="C206" s="23" t="s">
        <v>872</v>
      </c>
      <c r="D206" s="23">
        <v>1</v>
      </c>
      <c r="E206" s="23">
        <v>65</v>
      </c>
      <c r="F206" s="23">
        <v>735</v>
      </c>
      <c r="G206" s="23">
        <v>8844</v>
      </c>
      <c r="H206" s="23">
        <v>4.0999999999999996</v>
      </c>
    </row>
    <row r="207" spans="1:8" ht="23" x14ac:dyDescent="0.35">
      <c r="A207" s="24" t="s">
        <v>805</v>
      </c>
      <c r="B207" s="24" t="s">
        <v>1082</v>
      </c>
      <c r="C207" s="25" t="s">
        <v>872</v>
      </c>
      <c r="D207" s="25">
        <v>3</v>
      </c>
      <c r="E207" s="25">
        <v>195</v>
      </c>
      <c r="F207" s="25">
        <v>2200</v>
      </c>
      <c r="G207" s="25">
        <v>8864</v>
      </c>
      <c r="H207" s="25"/>
    </row>
    <row r="208" spans="1:8" x14ac:dyDescent="0.35">
      <c r="A208" s="22" t="s">
        <v>1025</v>
      </c>
      <c r="B208" s="22" t="s">
        <v>910</v>
      </c>
      <c r="C208" s="23" t="s">
        <v>872</v>
      </c>
      <c r="D208" s="23">
        <v>3</v>
      </c>
      <c r="E208" s="23">
        <v>105</v>
      </c>
      <c r="F208" s="23">
        <v>1180</v>
      </c>
      <c r="G208" s="23">
        <v>8898</v>
      </c>
      <c r="H208" s="23">
        <v>4.0999999999999996</v>
      </c>
    </row>
    <row r="209" spans="1:8" x14ac:dyDescent="0.35">
      <c r="A209" s="24" t="s">
        <v>752</v>
      </c>
      <c r="B209" s="24" t="s">
        <v>920</v>
      </c>
      <c r="C209" s="25" t="s">
        <v>872</v>
      </c>
      <c r="D209" s="25">
        <v>3</v>
      </c>
      <c r="E209" s="25">
        <v>160</v>
      </c>
      <c r="F209" s="25">
        <v>1790</v>
      </c>
      <c r="G209" s="25">
        <v>8939</v>
      </c>
      <c r="H209" s="25"/>
    </row>
    <row r="210" spans="1:8" x14ac:dyDescent="0.35">
      <c r="A210" s="22" t="s">
        <v>1066</v>
      </c>
      <c r="B210" s="22" t="s">
        <v>1067</v>
      </c>
      <c r="C210" s="23" t="s">
        <v>875</v>
      </c>
      <c r="D210" s="23">
        <v>3</v>
      </c>
      <c r="E210" s="23">
        <v>135</v>
      </c>
      <c r="F210" s="23">
        <v>1500</v>
      </c>
      <c r="G210" s="23">
        <v>9000</v>
      </c>
      <c r="H210" s="23"/>
    </row>
    <row r="211" spans="1:8" x14ac:dyDescent="0.35">
      <c r="A211" s="24" t="s">
        <v>367</v>
      </c>
      <c r="B211" s="24" t="s">
        <v>963</v>
      </c>
      <c r="C211" s="25" t="s">
        <v>872</v>
      </c>
      <c r="D211" s="25">
        <v>1</v>
      </c>
      <c r="E211" s="25">
        <v>60</v>
      </c>
      <c r="F211" s="25">
        <v>666</v>
      </c>
      <c r="G211" s="25">
        <v>9009</v>
      </c>
      <c r="H211" s="25"/>
    </row>
    <row r="212" spans="1:8" x14ac:dyDescent="0.35">
      <c r="A212" s="22" t="s">
        <v>1087</v>
      </c>
      <c r="B212" s="22" t="s">
        <v>11</v>
      </c>
      <c r="C212" s="23" t="s">
        <v>872</v>
      </c>
      <c r="D212" s="23">
        <v>2</v>
      </c>
      <c r="E212" s="23">
        <v>100</v>
      </c>
      <c r="F212" s="23">
        <v>1100</v>
      </c>
      <c r="G212" s="23">
        <v>9091</v>
      </c>
      <c r="H212" s="23">
        <v>3.5</v>
      </c>
    </row>
    <row r="213" spans="1:8" x14ac:dyDescent="0.35">
      <c r="A213" s="24" t="s">
        <v>1052</v>
      </c>
      <c r="B213" s="24" t="s">
        <v>990</v>
      </c>
      <c r="C213" s="25" t="s">
        <v>872</v>
      </c>
      <c r="D213" s="25">
        <v>2</v>
      </c>
      <c r="E213" s="25">
        <v>98</v>
      </c>
      <c r="F213" s="25">
        <v>1075</v>
      </c>
      <c r="G213" s="25">
        <v>9116</v>
      </c>
      <c r="H213" s="25">
        <v>4</v>
      </c>
    </row>
    <row r="214" spans="1:8" x14ac:dyDescent="0.35">
      <c r="A214" s="22" t="s">
        <v>1050</v>
      </c>
      <c r="B214" s="22" t="s">
        <v>1051</v>
      </c>
      <c r="C214" s="23" t="s">
        <v>872</v>
      </c>
      <c r="D214" s="23">
        <v>3</v>
      </c>
      <c r="E214" s="23">
        <v>123</v>
      </c>
      <c r="F214" s="23">
        <v>1348</v>
      </c>
      <c r="G214" s="23">
        <v>9125</v>
      </c>
      <c r="H214" s="23"/>
    </row>
    <row r="215" spans="1:8" x14ac:dyDescent="0.35">
      <c r="A215" s="24" t="s">
        <v>85</v>
      </c>
      <c r="B215" s="24" t="s">
        <v>882</v>
      </c>
      <c r="C215" s="25" t="s">
        <v>872</v>
      </c>
      <c r="D215" s="25">
        <v>2</v>
      </c>
      <c r="E215" s="25">
        <v>125</v>
      </c>
      <c r="F215" s="25">
        <v>1365</v>
      </c>
      <c r="G215" s="25">
        <v>9158</v>
      </c>
      <c r="H215" s="25"/>
    </row>
    <row r="216" spans="1:8" x14ac:dyDescent="0.35">
      <c r="A216" s="22" t="s">
        <v>1025</v>
      </c>
      <c r="B216" s="22" t="s">
        <v>910</v>
      </c>
      <c r="C216" s="23" t="s">
        <v>872</v>
      </c>
      <c r="D216" s="23">
        <v>1</v>
      </c>
      <c r="E216" s="23">
        <v>53</v>
      </c>
      <c r="F216" s="23">
        <v>575</v>
      </c>
      <c r="G216" s="23">
        <v>9217</v>
      </c>
      <c r="H216" s="23">
        <v>4.0999999999999996</v>
      </c>
    </row>
    <row r="217" spans="1:8" x14ac:dyDescent="0.35">
      <c r="A217" s="24" t="s">
        <v>239</v>
      </c>
      <c r="B217" s="24" t="s">
        <v>876</v>
      </c>
      <c r="C217" s="25" t="s">
        <v>872</v>
      </c>
      <c r="D217" s="25">
        <v>3</v>
      </c>
      <c r="E217" s="25">
        <v>161</v>
      </c>
      <c r="F217" s="25">
        <v>1725</v>
      </c>
      <c r="G217" s="25">
        <v>9333</v>
      </c>
      <c r="H217" s="25"/>
    </row>
    <row r="218" spans="1:8" x14ac:dyDescent="0.35">
      <c r="A218" s="22" t="s">
        <v>686</v>
      </c>
      <c r="B218" s="22" t="s">
        <v>945</v>
      </c>
      <c r="C218" s="23" t="s">
        <v>872</v>
      </c>
      <c r="D218" s="23">
        <v>3</v>
      </c>
      <c r="E218" s="23">
        <v>165</v>
      </c>
      <c r="F218" s="23">
        <v>1750</v>
      </c>
      <c r="G218" s="23">
        <v>9429</v>
      </c>
      <c r="H218" s="23"/>
    </row>
    <row r="219" spans="1:8" x14ac:dyDescent="0.35">
      <c r="A219" s="24" t="s">
        <v>216</v>
      </c>
      <c r="B219" s="24" t="s">
        <v>920</v>
      </c>
      <c r="C219" s="25" t="s">
        <v>872</v>
      </c>
      <c r="D219" s="25">
        <v>3</v>
      </c>
      <c r="E219" s="25">
        <v>185</v>
      </c>
      <c r="F219" s="25">
        <v>1948</v>
      </c>
      <c r="G219" s="25">
        <v>9497</v>
      </c>
      <c r="H219" s="25"/>
    </row>
    <row r="220" spans="1:8" x14ac:dyDescent="0.35">
      <c r="A220" s="22" t="s">
        <v>891</v>
      </c>
      <c r="B220" s="22" t="s">
        <v>892</v>
      </c>
      <c r="C220" s="23" t="s">
        <v>872</v>
      </c>
      <c r="D220" s="23">
        <v>2</v>
      </c>
      <c r="E220" s="23">
        <v>115</v>
      </c>
      <c r="F220" s="23">
        <v>1195</v>
      </c>
      <c r="G220" s="23">
        <v>9623</v>
      </c>
      <c r="H220" s="23">
        <v>3.5</v>
      </c>
    </row>
    <row r="221" spans="1:8" x14ac:dyDescent="0.35">
      <c r="A221" s="24" t="s">
        <v>242</v>
      </c>
      <c r="B221" s="24" t="s">
        <v>927</v>
      </c>
      <c r="C221" s="25" t="s">
        <v>872</v>
      </c>
      <c r="D221" s="25">
        <v>2</v>
      </c>
      <c r="E221" s="25">
        <v>125</v>
      </c>
      <c r="F221" s="25">
        <v>1295</v>
      </c>
      <c r="G221" s="25">
        <v>9653</v>
      </c>
      <c r="H221" s="25"/>
    </row>
    <row r="222" spans="1:8" x14ac:dyDescent="0.35">
      <c r="A222" s="22" t="s">
        <v>157</v>
      </c>
      <c r="B222" s="22" t="s">
        <v>871</v>
      </c>
      <c r="C222" s="23" t="s">
        <v>872</v>
      </c>
      <c r="D222" s="23">
        <v>3</v>
      </c>
      <c r="E222" s="23">
        <v>119</v>
      </c>
      <c r="F222" s="23">
        <v>1229</v>
      </c>
      <c r="G222" s="23">
        <v>9683</v>
      </c>
      <c r="H222" s="23"/>
    </row>
    <row r="223" spans="1:8" x14ac:dyDescent="0.35">
      <c r="A223" s="24" t="s">
        <v>1032</v>
      </c>
      <c r="B223" s="24" t="s">
        <v>902</v>
      </c>
      <c r="C223" s="25" t="s">
        <v>872</v>
      </c>
      <c r="D223" s="25">
        <v>3</v>
      </c>
      <c r="E223" s="25">
        <v>135</v>
      </c>
      <c r="F223" s="25">
        <v>1390</v>
      </c>
      <c r="G223" s="25">
        <v>9712</v>
      </c>
      <c r="H223" s="25">
        <v>4.0999999999999996</v>
      </c>
    </row>
    <row r="224" spans="1:8" x14ac:dyDescent="0.35">
      <c r="A224" s="22" t="s">
        <v>1025</v>
      </c>
      <c r="B224" s="22" t="s">
        <v>910</v>
      </c>
      <c r="C224" s="23" t="s">
        <v>872</v>
      </c>
      <c r="D224" s="23">
        <v>3</v>
      </c>
      <c r="E224" s="23">
        <v>136</v>
      </c>
      <c r="F224" s="23">
        <v>1400</v>
      </c>
      <c r="G224" s="23">
        <v>9714</v>
      </c>
      <c r="H224" s="23">
        <v>4.0999999999999996</v>
      </c>
    </row>
    <row r="225" spans="1:8" x14ac:dyDescent="0.35">
      <c r="A225" s="24" t="s">
        <v>216</v>
      </c>
      <c r="B225" s="24" t="s">
        <v>920</v>
      </c>
      <c r="C225" s="25" t="s">
        <v>872</v>
      </c>
      <c r="D225" s="25">
        <v>3</v>
      </c>
      <c r="E225" s="25">
        <v>187</v>
      </c>
      <c r="F225" s="25">
        <v>1917</v>
      </c>
      <c r="G225" s="25">
        <v>9755</v>
      </c>
      <c r="H225" s="25"/>
    </row>
    <row r="226" spans="1:8" x14ac:dyDescent="0.35">
      <c r="A226" s="22" t="s">
        <v>729</v>
      </c>
      <c r="B226" s="22" t="s">
        <v>1060</v>
      </c>
      <c r="C226" s="23" t="s">
        <v>872</v>
      </c>
      <c r="D226" s="23">
        <v>2</v>
      </c>
      <c r="E226" s="23">
        <v>100</v>
      </c>
      <c r="F226" s="23">
        <v>1025</v>
      </c>
      <c r="G226" s="23">
        <v>9756</v>
      </c>
      <c r="H226" s="23"/>
    </row>
    <row r="227" spans="1:8" x14ac:dyDescent="0.35">
      <c r="A227" s="24" t="s">
        <v>1090</v>
      </c>
      <c r="B227" s="24" t="s">
        <v>975</v>
      </c>
      <c r="C227" s="25" t="s">
        <v>872</v>
      </c>
      <c r="D227" s="25">
        <v>2</v>
      </c>
      <c r="E227" s="25">
        <v>130</v>
      </c>
      <c r="F227" s="25">
        <v>1329</v>
      </c>
      <c r="G227" s="25">
        <v>9782</v>
      </c>
      <c r="H227" s="25">
        <v>3.8</v>
      </c>
    </row>
    <row r="228" spans="1:8" x14ac:dyDescent="0.35">
      <c r="A228" s="22" t="s">
        <v>900</v>
      </c>
      <c r="B228" s="22" t="s">
        <v>901</v>
      </c>
      <c r="C228" s="23" t="s">
        <v>872</v>
      </c>
      <c r="D228" s="23">
        <v>2</v>
      </c>
      <c r="E228" s="23">
        <v>98.1</v>
      </c>
      <c r="F228" s="23">
        <v>999</v>
      </c>
      <c r="G228" s="23">
        <v>9820</v>
      </c>
      <c r="H228" s="23">
        <v>4.0999999999999996</v>
      </c>
    </row>
    <row r="229" spans="1:8" x14ac:dyDescent="0.35">
      <c r="A229" s="24" t="s">
        <v>1035</v>
      </c>
      <c r="B229" s="24" t="s">
        <v>1034</v>
      </c>
      <c r="C229" s="25" t="s">
        <v>872</v>
      </c>
      <c r="D229" s="25">
        <v>3</v>
      </c>
      <c r="E229" s="25">
        <v>118</v>
      </c>
      <c r="F229" s="25">
        <v>1201</v>
      </c>
      <c r="G229" s="25">
        <v>9825</v>
      </c>
      <c r="H229" s="25"/>
    </row>
    <row r="230" spans="1:8" x14ac:dyDescent="0.35">
      <c r="A230" s="22" t="s">
        <v>1033</v>
      </c>
      <c r="B230" s="22" t="s">
        <v>1034</v>
      </c>
      <c r="C230" s="23" t="s">
        <v>872</v>
      </c>
      <c r="D230" s="23">
        <v>3</v>
      </c>
      <c r="E230" s="23">
        <v>118</v>
      </c>
      <c r="F230" s="23">
        <v>1200</v>
      </c>
      <c r="G230" s="23">
        <v>9833</v>
      </c>
      <c r="H230" s="23"/>
    </row>
    <row r="231" spans="1:8" x14ac:dyDescent="0.35">
      <c r="A231" s="24" t="s">
        <v>900</v>
      </c>
      <c r="B231" s="24" t="s">
        <v>901</v>
      </c>
      <c r="C231" s="25" t="s">
        <v>872</v>
      </c>
      <c r="D231" s="25">
        <v>3</v>
      </c>
      <c r="E231" s="25">
        <v>126</v>
      </c>
      <c r="F231" s="25">
        <v>1277</v>
      </c>
      <c r="G231" s="25">
        <v>9867</v>
      </c>
      <c r="H231" s="25">
        <v>4.0999999999999996</v>
      </c>
    </row>
    <row r="232" spans="1:8" x14ac:dyDescent="0.35">
      <c r="A232" s="22" t="s">
        <v>1038</v>
      </c>
      <c r="B232" s="22" t="s">
        <v>1039</v>
      </c>
      <c r="C232" s="23" t="s">
        <v>872</v>
      </c>
      <c r="D232" s="23">
        <v>2</v>
      </c>
      <c r="E232" s="23">
        <v>112</v>
      </c>
      <c r="F232" s="23">
        <v>1134</v>
      </c>
      <c r="G232" s="23">
        <v>9877</v>
      </c>
      <c r="H232" s="23">
        <v>4</v>
      </c>
    </row>
    <row r="233" spans="1:8" x14ac:dyDescent="0.35">
      <c r="A233" s="24" t="s">
        <v>909</v>
      </c>
      <c r="B233" s="24" t="s">
        <v>910</v>
      </c>
      <c r="C233" s="25" t="s">
        <v>872</v>
      </c>
      <c r="D233" s="25">
        <v>2</v>
      </c>
      <c r="E233" s="25">
        <v>95</v>
      </c>
      <c r="F233" s="25">
        <v>960</v>
      </c>
      <c r="G233" s="25">
        <v>9896</v>
      </c>
      <c r="H233" s="25">
        <v>4</v>
      </c>
    </row>
    <row r="234" spans="1:8" x14ac:dyDescent="0.35">
      <c r="A234" s="22" t="s">
        <v>195</v>
      </c>
      <c r="B234" s="22" t="s">
        <v>912</v>
      </c>
      <c r="C234" s="23" t="s">
        <v>872</v>
      </c>
      <c r="D234" s="23">
        <v>2</v>
      </c>
      <c r="E234" s="23">
        <v>98</v>
      </c>
      <c r="F234" s="23">
        <v>988</v>
      </c>
      <c r="G234" s="23">
        <v>9919</v>
      </c>
      <c r="H234" s="23"/>
    </row>
    <row r="235" spans="1:8" x14ac:dyDescent="0.35">
      <c r="A235" s="24" t="s">
        <v>219</v>
      </c>
      <c r="B235" s="24" t="s">
        <v>921</v>
      </c>
      <c r="C235" s="25" t="s">
        <v>872</v>
      </c>
      <c r="D235" s="25">
        <v>3</v>
      </c>
      <c r="E235" s="25">
        <v>145</v>
      </c>
      <c r="F235" s="25">
        <v>1459</v>
      </c>
      <c r="G235" s="25">
        <v>9938</v>
      </c>
      <c r="H235" s="25"/>
    </row>
    <row r="236" spans="1:8" x14ac:dyDescent="0.35">
      <c r="A236" s="22" t="s">
        <v>879</v>
      </c>
      <c r="B236" s="22" t="s">
        <v>880</v>
      </c>
      <c r="C236" s="23" t="s">
        <v>872</v>
      </c>
      <c r="D236" s="23">
        <v>4</v>
      </c>
      <c r="E236" s="23">
        <v>350</v>
      </c>
      <c r="F236" s="23">
        <v>3504</v>
      </c>
      <c r="G236" s="23">
        <v>9989</v>
      </c>
      <c r="H236" s="23">
        <v>3.8</v>
      </c>
    </row>
    <row r="237" spans="1:8" x14ac:dyDescent="0.35">
      <c r="A237" s="24" t="s">
        <v>216</v>
      </c>
      <c r="B237" s="24" t="s">
        <v>920</v>
      </c>
      <c r="C237" s="25" t="s">
        <v>872</v>
      </c>
      <c r="D237" s="25">
        <v>5</v>
      </c>
      <c r="E237" s="25">
        <v>280</v>
      </c>
      <c r="F237" s="25">
        <v>2800</v>
      </c>
      <c r="G237" s="25">
        <v>10000</v>
      </c>
      <c r="H237" s="25"/>
    </row>
    <row r="238" spans="1:8" x14ac:dyDescent="0.35">
      <c r="A238" s="22" t="s">
        <v>584</v>
      </c>
      <c r="B238" s="22" t="s">
        <v>1016</v>
      </c>
      <c r="C238" s="23" t="s">
        <v>872</v>
      </c>
      <c r="D238" s="23">
        <v>3</v>
      </c>
      <c r="E238" s="23">
        <v>210</v>
      </c>
      <c r="F238" s="23">
        <v>2095</v>
      </c>
      <c r="G238" s="23">
        <v>10024</v>
      </c>
      <c r="H238" s="23"/>
    </row>
    <row r="239" spans="1:8" x14ac:dyDescent="0.35">
      <c r="A239" s="24" t="s">
        <v>891</v>
      </c>
      <c r="B239" s="24" t="s">
        <v>892</v>
      </c>
      <c r="C239" s="25" t="s">
        <v>872</v>
      </c>
      <c r="D239" s="25">
        <v>2</v>
      </c>
      <c r="E239" s="25">
        <v>120</v>
      </c>
      <c r="F239" s="25">
        <v>1195</v>
      </c>
      <c r="G239" s="25">
        <v>10042</v>
      </c>
      <c r="H239" s="25">
        <v>3.5</v>
      </c>
    </row>
    <row r="240" spans="1:8" x14ac:dyDescent="0.35">
      <c r="A240" s="22" t="s">
        <v>400</v>
      </c>
      <c r="B240" s="22" t="s">
        <v>970</v>
      </c>
      <c r="C240" s="23" t="s">
        <v>872</v>
      </c>
      <c r="D240" s="23">
        <v>2</v>
      </c>
      <c r="E240" s="23">
        <v>160</v>
      </c>
      <c r="F240" s="23">
        <v>1589</v>
      </c>
      <c r="G240" s="23">
        <v>10069</v>
      </c>
      <c r="H240" s="23"/>
    </row>
    <row r="241" spans="1:8" x14ac:dyDescent="0.35">
      <c r="A241" s="24" t="s">
        <v>56</v>
      </c>
      <c r="B241" s="24" t="s">
        <v>876</v>
      </c>
      <c r="C241" s="25" t="s">
        <v>872</v>
      </c>
      <c r="D241" s="25">
        <v>3</v>
      </c>
      <c r="E241" s="25">
        <v>220</v>
      </c>
      <c r="F241" s="25">
        <v>2184</v>
      </c>
      <c r="G241" s="25">
        <v>10073</v>
      </c>
      <c r="H241" s="25"/>
    </row>
    <row r="242" spans="1:8" x14ac:dyDescent="0.35">
      <c r="A242" s="22" t="s">
        <v>195</v>
      </c>
      <c r="B242" s="22" t="s">
        <v>912</v>
      </c>
      <c r="C242" s="23" t="s">
        <v>872</v>
      </c>
      <c r="D242" s="23">
        <v>2</v>
      </c>
      <c r="E242" s="23">
        <v>100</v>
      </c>
      <c r="F242" s="23">
        <v>988</v>
      </c>
      <c r="G242" s="23">
        <v>10121</v>
      </c>
      <c r="H242" s="23"/>
    </row>
    <row r="243" spans="1:8" x14ac:dyDescent="0.35">
      <c r="A243" s="24" t="s">
        <v>900</v>
      </c>
      <c r="B243" s="24" t="s">
        <v>901</v>
      </c>
      <c r="C243" s="25" t="s">
        <v>872</v>
      </c>
      <c r="D243" s="25">
        <v>3</v>
      </c>
      <c r="E243" s="25">
        <v>145</v>
      </c>
      <c r="F243" s="25">
        <v>1431</v>
      </c>
      <c r="G243" s="25">
        <v>10133</v>
      </c>
      <c r="H243" s="25">
        <v>4.0999999999999996</v>
      </c>
    </row>
    <row r="244" spans="1:8" x14ac:dyDescent="0.35">
      <c r="A244" s="22" t="s">
        <v>887</v>
      </c>
      <c r="B244" s="22" t="s">
        <v>888</v>
      </c>
      <c r="C244" s="23" t="s">
        <v>872</v>
      </c>
      <c r="D244" s="23">
        <v>2</v>
      </c>
      <c r="E244" s="23">
        <v>119</v>
      </c>
      <c r="F244" s="23">
        <v>1171</v>
      </c>
      <c r="G244" s="23">
        <v>10162</v>
      </c>
      <c r="H244" s="23">
        <v>3.6</v>
      </c>
    </row>
    <row r="245" spans="1:8" x14ac:dyDescent="0.35">
      <c r="A245" s="24" t="s">
        <v>909</v>
      </c>
      <c r="B245" s="24" t="s">
        <v>910</v>
      </c>
      <c r="C245" s="25" t="s">
        <v>872</v>
      </c>
      <c r="D245" s="25">
        <v>2</v>
      </c>
      <c r="E245" s="25">
        <v>99</v>
      </c>
      <c r="F245" s="25">
        <v>974</v>
      </c>
      <c r="G245" s="25">
        <v>10164</v>
      </c>
      <c r="H245" s="25">
        <v>4</v>
      </c>
    </row>
    <row r="246" spans="1:8" x14ac:dyDescent="0.35">
      <c r="A246" s="22" t="s">
        <v>900</v>
      </c>
      <c r="B246" s="22" t="s">
        <v>901</v>
      </c>
      <c r="C246" s="23" t="s">
        <v>872</v>
      </c>
      <c r="D246" s="23">
        <v>3</v>
      </c>
      <c r="E246" s="23">
        <v>130</v>
      </c>
      <c r="F246" s="23">
        <v>1277</v>
      </c>
      <c r="G246" s="23">
        <v>10180</v>
      </c>
      <c r="H246" s="23">
        <v>4.0999999999999996</v>
      </c>
    </row>
    <row r="247" spans="1:8" x14ac:dyDescent="0.35">
      <c r="A247" s="24" t="s">
        <v>85</v>
      </c>
      <c r="B247" s="24" t="s">
        <v>882</v>
      </c>
      <c r="C247" s="25" t="s">
        <v>872</v>
      </c>
      <c r="D247" s="25">
        <v>3</v>
      </c>
      <c r="E247" s="25">
        <v>163</v>
      </c>
      <c r="F247" s="25">
        <v>1595</v>
      </c>
      <c r="G247" s="25">
        <v>10219</v>
      </c>
      <c r="H247" s="25"/>
    </row>
    <row r="248" spans="1:8" x14ac:dyDescent="0.35">
      <c r="A248" s="22" t="s">
        <v>906</v>
      </c>
      <c r="B248" s="22" t="s">
        <v>907</v>
      </c>
      <c r="C248" s="23" t="s">
        <v>872</v>
      </c>
      <c r="D248" s="23">
        <v>2</v>
      </c>
      <c r="E248" s="23">
        <v>115</v>
      </c>
      <c r="F248" s="23">
        <v>1125</v>
      </c>
      <c r="G248" s="23">
        <v>10222</v>
      </c>
      <c r="H248" s="23">
        <v>3.7</v>
      </c>
    </row>
    <row r="249" spans="1:8" x14ac:dyDescent="0.35">
      <c r="A249" s="24" t="s">
        <v>195</v>
      </c>
      <c r="B249" s="24" t="s">
        <v>912</v>
      </c>
      <c r="C249" s="25" t="s">
        <v>872</v>
      </c>
      <c r="D249" s="25">
        <v>1</v>
      </c>
      <c r="E249" s="25">
        <v>60</v>
      </c>
      <c r="F249" s="25">
        <v>584</v>
      </c>
      <c r="G249" s="25">
        <v>10274</v>
      </c>
      <c r="H249" s="25"/>
    </row>
    <row r="250" spans="1:8" x14ac:dyDescent="0.35">
      <c r="A250" s="22" t="s">
        <v>1093</v>
      </c>
      <c r="B250" s="22" t="s">
        <v>902</v>
      </c>
      <c r="C250" s="23" t="s">
        <v>872</v>
      </c>
      <c r="D250" s="23">
        <v>3</v>
      </c>
      <c r="E250" s="23">
        <v>115</v>
      </c>
      <c r="F250" s="23">
        <v>1118</v>
      </c>
      <c r="G250" s="23">
        <v>10286</v>
      </c>
      <c r="H250" s="23">
        <v>3.5</v>
      </c>
    </row>
    <row r="251" spans="1:8" x14ac:dyDescent="0.35">
      <c r="A251" s="24" t="s">
        <v>533</v>
      </c>
      <c r="B251" s="24" t="s">
        <v>918</v>
      </c>
      <c r="C251" s="25" t="s">
        <v>872</v>
      </c>
      <c r="D251" s="25">
        <v>3</v>
      </c>
      <c r="E251" s="25">
        <v>310</v>
      </c>
      <c r="F251" s="25">
        <v>3000</v>
      </c>
      <c r="G251" s="25">
        <v>10333</v>
      </c>
      <c r="H251" s="25"/>
    </row>
    <row r="252" spans="1:8" x14ac:dyDescent="0.35">
      <c r="A252" s="22" t="s">
        <v>900</v>
      </c>
      <c r="B252" s="22" t="s">
        <v>901</v>
      </c>
      <c r="C252" s="23" t="s">
        <v>872</v>
      </c>
      <c r="D252" s="23">
        <v>3</v>
      </c>
      <c r="E252" s="23">
        <v>132</v>
      </c>
      <c r="F252" s="23">
        <v>1277</v>
      </c>
      <c r="G252" s="23">
        <v>10337</v>
      </c>
      <c r="H252" s="23">
        <v>4.0999999999999996</v>
      </c>
    </row>
    <row r="253" spans="1:8" x14ac:dyDescent="0.35">
      <c r="A253" s="24" t="s">
        <v>900</v>
      </c>
      <c r="B253" s="24" t="s">
        <v>901</v>
      </c>
      <c r="C253" s="25" t="s">
        <v>872</v>
      </c>
      <c r="D253" s="25">
        <v>3</v>
      </c>
      <c r="E253" s="25">
        <v>148</v>
      </c>
      <c r="F253" s="25">
        <v>1431</v>
      </c>
      <c r="G253" s="25">
        <v>10342</v>
      </c>
      <c r="H253" s="25">
        <v>4.0999999999999996</v>
      </c>
    </row>
    <row r="254" spans="1:8" x14ac:dyDescent="0.35">
      <c r="A254" s="22" t="s">
        <v>85</v>
      </c>
      <c r="B254" s="22" t="s">
        <v>882</v>
      </c>
      <c r="C254" s="23" t="s">
        <v>872</v>
      </c>
      <c r="D254" s="23">
        <v>2</v>
      </c>
      <c r="E254" s="23">
        <v>135</v>
      </c>
      <c r="F254" s="23">
        <v>1305</v>
      </c>
      <c r="G254" s="23">
        <v>10345</v>
      </c>
      <c r="H254" s="23"/>
    </row>
    <row r="255" spans="1:8" x14ac:dyDescent="0.35">
      <c r="A255" s="24" t="s">
        <v>900</v>
      </c>
      <c r="B255" s="24" t="s">
        <v>901</v>
      </c>
      <c r="C255" s="25" t="s">
        <v>872</v>
      </c>
      <c r="D255" s="25">
        <v>2</v>
      </c>
      <c r="E255" s="25">
        <v>99</v>
      </c>
      <c r="F255" s="25">
        <v>955</v>
      </c>
      <c r="G255" s="25">
        <v>10366</v>
      </c>
      <c r="H255" s="25">
        <v>4.0999999999999996</v>
      </c>
    </row>
    <row r="256" spans="1:8" x14ac:dyDescent="0.35">
      <c r="A256" s="22" t="s">
        <v>909</v>
      </c>
      <c r="B256" s="22" t="s">
        <v>910</v>
      </c>
      <c r="C256" s="23" t="s">
        <v>872</v>
      </c>
      <c r="D256" s="23">
        <v>3</v>
      </c>
      <c r="E256" s="23">
        <v>130</v>
      </c>
      <c r="F256" s="23">
        <v>1254</v>
      </c>
      <c r="G256" s="23">
        <v>10367</v>
      </c>
      <c r="H256" s="23">
        <v>4</v>
      </c>
    </row>
    <row r="257" spans="1:8" x14ac:dyDescent="0.35">
      <c r="A257" s="24" t="s">
        <v>195</v>
      </c>
      <c r="B257" s="24" t="s">
        <v>912</v>
      </c>
      <c r="C257" s="25" t="s">
        <v>872</v>
      </c>
      <c r="D257" s="25">
        <v>3</v>
      </c>
      <c r="E257" s="25">
        <v>160</v>
      </c>
      <c r="F257" s="25">
        <v>1543</v>
      </c>
      <c r="G257" s="25">
        <v>10369</v>
      </c>
      <c r="H257" s="25"/>
    </row>
    <row r="258" spans="1:8" x14ac:dyDescent="0.35">
      <c r="A258" s="22" t="s">
        <v>216</v>
      </c>
      <c r="B258" s="22" t="s">
        <v>920</v>
      </c>
      <c r="C258" s="23" t="s">
        <v>872</v>
      </c>
      <c r="D258" s="23">
        <v>2</v>
      </c>
      <c r="E258" s="23">
        <v>97</v>
      </c>
      <c r="F258" s="23">
        <v>934</v>
      </c>
      <c r="G258" s="23">
        <v>10385</v>
      </c>
      <c r="H258" s="23"/>
    </row>
    <row r="259" spans="1:8" x14ac:dyDescent="0.35">
      <c r="A259" s="24" t="s">
        <v>900</v>
      </c>
      <c r="B259" s="24" t="s">
        <v>901</v>
      </c>
      <c r="C259" s="25" t="s">
        <v>872</v>
      </c>
      <c r="D259" s="25">
        <v>3</v>
      </c>
      <c r="E259" s="25">
        <v>149</v>
      </c>
      <c r="F259" s="25">
        <v>1431</v>
      </c>
      <c r="G259" s="25">
        <v>10412</v>
      </c>
      <c r="H259" s="25">
        <v>4.0999999999999996</v>
      </c>
    </row>
    <row r="260" spans="1:8" x14ac:dyDescent="0.35">
      <c r="A260" s="22" t="s">
        <v>81</v>
      </c>
      <c r="B260" s="22" t="s">
        <v>881</v>
      </c>
      <c r="C260" s="23" t="s">
        <v>872</v>
      </c>
      <c r="D260" s="23">
        <v>2</v>
      </c>
      <c r="E260" s="23">
        <v>122</v>
      </c>
      <c r="F260" s="23">
        <v>1168</v>
      </c>
      <c r="G260" s="23">
        <v>10445</v>
      </c>
      <c r="H260" s="23"/>
    </row>
    <row r="261" spans="1:8" x14ac:dyDescent="0.35">
      <c r="A261" s="24" t="s">
        <v>938</v>
      </c>
      <c r="B261" s="24" t="s">
        <v>1053</v>
      </c>
      <c r="C261" s="25" t="s">
        <v>872</v>
      </c>
      <c r="D261" s="25">
        <v>3</v>
      </c>
      <c r="E261" s="25">
        <v>200</v>
      </c>
      <c r="F261" s="25">
        <v>1910</v>
      </c>
      <c r="G261" s="25">
        <v>10471</v>
      </c>
      <c r="H261" s="25"/>
    </row>
    <row r="262" spans="1:8" x14ac:dyDescent="0.35">
      <c r="A262" s="22" t="s">
        <v>1072</v>
      </c>
      <c r="B262" s="22" t="s">
        <v>1073</v>
      </c>
      <c r="C262" s="23" t="s">
        <v>872</v>
      </c>
      <c r="D262" s="23">
        <v>3</v>
      </c>
      <c r="E262" s="23">
        <v>165</v>
      </c>
      <c r="F262" s="23">
        <v>1570</v>
      </c>
      <c r="G262" s="23">
        <v>10510</v>
      </c>
      <c r="H262" s="23">
        <v>4.2</v>
      </c>
    </row>
    <row r="263" spans="1:8" x14ac:dyDescent="0.35">
      <c r="A263" s="24" t="s">
        <v>887</v>
      </c>
      <c r="B263" s="24" t="s">
        <v>888</v>
      </c>
      <c r="C263" s="25" t="s">
        <v>872</v>
      </c>
      <c r="D263" s="25">
        <v>2</v>
      </c>
      <c r="E263" s="25">
        <v>125</v>
      </c>
      <c r="F263" s="25">
        <v>1182</v>
      </c>
      <c r="G263" s="25">
        <v>10575</v>
      </c>
      <c r="H263" s="25">
        <v>3.6</v>
      </c>
    </row>
    <row r="264" spans="1:8" x14ac:dyDescent="0.35">
      <c r="A264" s="22" t="s">
        <v>1025</v>
      </c>
      <c r="B264" s="22" t="s">
        <v>910</v>
      </c>
      <c r="C264" s="23" t="s">
        <v>872</v>
      </c>
      <c r="D264" s="23">
        <v>3</v>
      </c>
      <c r="E264" s="23">
        <v>139</v>
      </c>
      <c r="F264" s="23">
        <v>1308</v>
      </c>
      <c r="G264" s="23">
        <v>10627</v>
      </c>
      <c r="H264" s="23">
        <v>4.0999999999999996</v>
      </c>
    </row>
    <row r="265" spans="1:8" x14ac:dyDescent="0.35">
      <c r="A265" s="24" t="s">
        <v>195</v>
      </c>
      <c r="B265" s="24" t="s">
        <v>912</v>
      </c>
      <c r="C265" s="25" t="s">
        <v>872</v>
      </c>
      <c r="D265" s="25">
        <v>3</v>
      </c>
      <c r="E265" s="25">
        <v>170</v>
      </c>
      <c r="F265" s="25">
        <v>1581</v>
      </c>
      <c r="G265" s="25">
        <v>10753</v>
      </c>
      <c r="H265" s="25"/>
    </row>
    <row r="266" spans="1:8" x14ac:dyDescent="0.35">
      <c r="A266" s="22" t="s">
        <v>85</v>
      </c>
      <c r="B266" s="22" t="s">
        <v>882</v>
      </c>
      <c r="C266" s="23" t="s">
        <v>872</v>
      </c>
      <c r="D266" s="23">
        <v>2</v>
      </c>
      <c r="E266" s="23">
        <v>127</v>
      </c>
      <c r="F266" s="23">
        <v>1175</v>
      </c>
      <c r="G266" s="23">
        <v>10809</v>
      </c>
      <c r="H266" s="23"/>
    </row>
    <row r="267" spans="1:8" x14ac:dyDescent="0.35">
      <c r="A267" s="24" t="s">
        <v>533</v>
      </c>
      <c r="B267" s="24" t="s">
        <v>918</v>
      </c>
      <c r="C267" s="25" t="s">
        <v>872</v>
      </c>
      <c r="D267" s="25">
        <v>3</v>
      </c>
      <c r="E267" s="25">
        <v>315</v>
      </c>
      <c r="F267" s="25">
        <v>2900</v>
      </c>
      <c r="G267" s="25">
        <v>10862</v>
      </c>
      <c r="H267" s="25"/>
    </row>
    <row r="268" spans="1:8" x14ac:dyDescent="0.35">
      <c r="A268" s="22" t="s">
        <v>887</v>
      </c>
      <c r="B268" s="22" t="s">
        <v>888</v>
      </c>
      <c r="C268" s="23" t="s">
        <v>872</v>
      </c>
      <c r="D268" s="23">
        <v>3</v>
      </c>
      <c r="E268" s="23">
        <v>155</v>
      </c>
      <c r="F268" s="23">
        <v>1425</v>
      </c>
      <c r="G268" s="23">
        <v>10877</v>
      </c>
      <c r="H268" s="23">
        <v>3.6</v>
      </c>
    </row>
    <row r="269" spans="1:8" x14ac:dyDescent="0.35">
      <c r="A269" s="24" t="s">
        <v>681</v>
      </c>
      <c r="B269" s="24" t="s">
        <v>1045</v>
      </c>
      <c r="C269" s="25" t="s">
        <v>875</v>
      </c>
      <c r="D269" s="25">
        <v>5</v>
      </c>
      <c r="E269" s="25">
        <v>300</v>
      </c>
      <c r="F269" s="25">
        <v>2758</v>
      </c>
      <c r="G269" s="25">
        <v>10877</v>
      </c>
      <c r="H269" s="25"/>
    </row>
    <row r="270" spans="1:8" ht="23" x14ac:dyDescent="0.35">
      <c r="A270" s="22" t="s">
        <v>673</v>
      </c>
      <c r="B270" s="22" t="s">
        <v>1041</v>
      </c>
      <c r="C270" s="23" t="s">
        <v>872</v>
      </c>
      <c r="D270" s="23">
        <v>3</v>
      </c>
      <c r="E270" s="23">
        <v>240</v>
      </c>
      <c r="F270" s="23">
        <v>2200</v>
      </c>
      <c r="G270" s="23">
        <v>10909</v>
      </c>
      <c r="H270" s="23"/>
    </row>
    <row r="271" spans="1:8" x14ac:dyDescent="0.35">
      <c r="A271" s="24" t="s">
        <v>938</v>
      </c>
      <c r="B271" s="24" t="s">
        <v>1047</v>
      </c>
      <c r="C271" s="25" t="s">
        <v>872</v>
      </c>
      <c r="D271" s="25">
        <v>2</v>
      </c>
      <c r="E271" s="25">
        <v>120</v>
      </c>
      <c r="F271" s="25">
        <v>1100</v>
      </c>
      <c r="G271" s="25">
        <v>10909</v>
      </c>
      <c r="H271" s="25"/>
    </row>
    <row r="272" spans="1:8" x14ac:dyDescent="0.35">
      <c r="A272" s="22" t="s">
        <v>1007</v>
      </c>
      <c r="B272" s="22" t="s">
        <v>1008</v>
      </c>
      <c r="C272" s="23" t="s">
        <v>872</v>
      </c>
      <c r="D272" s="23">
        <v>2</v>
      </c>
      <c r="E272" s="23">
        <v>136</v>
      </c>
      <c r="F272" s="23">
        <v>1245</v>
      </c>
      <c r="G272" s="23">
        <v>10924</v>
      </c>
      <c r="H272" s="23">
        <v>3.8</v>
      </c>
    </row>
    <row r="273" spans="1:8" x14ac:dyDescent="0.35">
      <c r="A273" s="24" t="s">
        <v>216</v>
      </c>
      <c r="B273" s="24" t="s">
        <v>920</v>
      </c>
      <c r="C273" s="25" t="s">
        <v>872</v>
      </c>
      <c r="D273" s="25">
        <v>2</v>
      </c>
      <c r="E273" s="25">
        <v>120</v>
      </c>
      <c r="F273" s="25">
        <v>1098</v>
      </c>
      <c r="G273" s="25">
        <v>10929</v>
      </c>
      <c r="H273" s="25"/>
    </row>
    <row r="274" spans="1:8" x14ac:dyDescent="0.35">
      <c r="A274" s="22" t="s">
        <v>632</v>
      </c>
      <c r="B274" s="22" t="s">
        <v>11</v>
      </c>
      <c r="C274" s="23" t="s">
        <v>872</v>
      </c>
      <c r="D274" s="23">
        <v>2</v>
      </c>
      <c r="E274" s="23">
        <v>135</v>
      </c>
      <c r="F274" s="23">
        <v>1235</v>
      </c>
      <c r="G274" s="23">
        <v>10931</v>
      </c>
      <c r="H274" s="23"/>
    </row>
    <row r="275" spans="1:8" x14ac:dyDescent="0.35">
      <c r="A275" s="24" t="s">
        <v>1048</v>
      </c>
      <c r="B275" s="24" t="s">
        <v>895</v>
      </c>
      <c r="C275" s="25" t="s">
        <v>872</v>
      </c>
      <c r="D275" s="25">
        <v>2</v>
      </c>
      <c r="E275" s="25">
        <v>109</v>
      </c>
      <c r="F275" s="25">
        <v>997</v>
      </c>
      <c r="G275" s="25">
        <v>10933</v>
      </c>
      <c r="H275" s="25"/>
    </row>
    <row r="276" spans="1:8" x14ac:dyDescent="0.35">
      <c r="A276" s="22" t="s">
        <v>81</v>
      </c>
      <c r="B276" s="22" t="s">
        <v>881</v>
      </c>
      <c r="C276" s="23" t="s">
        <v>872</v>
      </c>
      <c r="D276" s="23">
        <v>2</v>
      </c>
      <c r="E276" s="23">
        <v>128</v>
      </c>
      <c r="F276" s="23">
        <v>1170</v>
      </c>
      <c r="G276" s="23">
        <v>10940</v>
      </c>
      <c r="H276" s="23"/>
    </row>
    <row r="277" spans="1:8" x14ac:dyDescent="0.35">
      <c r="A277" s="24" t="s">
        <v>938</v>
      </c>
      <c r="B277" s="24" t="s">
        <v>1047</v>
      </c>
      <c r="C277" s="25" t="s">
        <v>872</v>
      </c>
      <c r="D277" s="25">
        <v>3</v>
      </c>
      <c r="E277" s="25">
        <v>187</v>
      </c>
      <c r="F277" s="25">
        <v>1700</v>
      </c>
      <c r="G277" s="25">
        <v>11000</v>
      </c>
      <c r="H277" s="25"/>
    </row>
    <row r="278" spans="1:8" x14ac:dyDescent="0.35">
      <c r="A278" s="22" t="s">
        <v>900</v>
      </c>
      <c r="B278" s="22" t="s">
        <v>901</v>
      </c>
      <c r="C278" s="23" t="s">
        <v>872</v>
      </c>
      <c r="D278" s="23">
        <v>3</v>
      </c>
      <c r="E278" s="23">
        <v>172</v>
      </c>
      <c r="F278" s="23">
        <v>1562</v>
      </c>
      <c r="G278" s="23">
        <v>11012</v>
      </c>
      <c r="H278" s="23">
        <v>4.0999999999999996</v>
      </c>
    </row>
    <row r="279" spans="1:8" x14ac:dyDescent="0.35">
      <c r="A279" s="24" t="s">
        <v>938</v>
      </c>
      <c r="B279" s="24" t="s">
        <v>1042</v>
      </c>
      <c r="C279" s="25" t="s">
        <v>872</v>
      </c>
      <c r="D279" s="25">
        <v>3</v>
      </c>
      <c r="E279" s="25">
        <v>215</v>
      </c>
      <c r="F279" s="25">
        <v>1950</v>
      </c>
      <c r="G279" s="25">
        <v>11026</v>
      </c>
      <c r="H279" s="25"/>
    </row>
    <row r="280" spans="1:8" x14ac:dyDescent="0.35">
      <c r="A280" s="22" t="s">
        <v>931</v>
      </c>
      <c r="B280" s="22" t="s">
        <v>945</v>
      </c>
      <c r="C280" s="23" t="s">
        <v>872</v>
      </c>
      <c r="D280" s="23">
        <v>3</v>
      </c>
      <c r="E280" s="23">
        <v>265</v>
      </c>
      <c r="F280" s="23">
        <v>2401</v>
      </c>
      <c r="G280" s="23">
        <v>11037</v>
      </c>
      <c r="H280" s="23"/>
    </row>
    <row r="281" spans="1:8" x14ac:dyDescent="0.35">
      <c r="A281" s="24" t="s">
        <v>931</v>
      </c>
      <c r="B281" s="24" t="s">
        <v>932</v>
      </c>
      <c r="C281" s="25" t="s">
        <v>872</v>
      </c>
      <c r="D281" s="25">
        <v>3</v>
      </c>
      <c r="E281" s="25">
        <v>265</v>
      </c>
      <c r="F281" s="25">
        <v>2399</v>
      </c>
      <c r="G281" s="25">
        <v>11046</v>
      </c>
      <c r="H281" s="25"/>
    </row>
    <row r="282" spans="1:8" x14ac:dyDescent="0.35">
      <c r="A282" s="22" t="s">
        <v>100</v>
      </c>
      <c r="B282" s="22" t="s">
        <v>885</v>
      </c>
      <c r="C282" s="23" t="s">
        <v>872</v>
      </c>
      <c r="D282" s="23">
        <v>3</v>
      </c>
      <c r="E282" s="23">
        <v>145</v>
      </c>
      <c r="F282" s="23">
        <v>1311</v>
      </c>
      <c r="G282" s="23">
        <v>11060</v>
      </c>
      <c r="H282" s="23"/>
    </row>
    <row r="283" spans="1:8" x14ac:dyDescent="0.35">
      <c r="A283" s="24" t="s">
        <v>900</v>
      </c>
      <c r="B283" s="24" t="s">
        <v>901</v>
      </c>
      <c r="C283" s="25" t="s">
        <v>872</v>
      </c>
      <c r="D283" s="25">
        <v>3</v>
      </c>
      <c r="E283" s="25">
        <v>138</v>
      </c>
      <c r="F283" s="25">
        <v>1224</v>
      </c>
      <c r="G283" s="25">
        <v>11275</v>
      </c>
      <c r="H283" s="25">
        <v>4.0999999999999996</v>
      </c>
    </row>
    <row r="284" spans="1:8" x14ac:dyDescent="0.35">
      <c r="A284" s="22" t="s">
        <v>938</v>
      </c>
      <c r="B284" s="22" t="s">
        <v>1053</v>
      </c>
      <c r="C284" s="23" t="s">
        <v>872</v>
      </c>
      <c r="D284" s="23">
        <v>3</v>
      </c>
      <c r="E284" s="23">
        <v>220</v>
      </c>
      <c r="F284" s="23">
        <v>1950</v>
      </c>
      <c r="G284" s="23">
        <v>11282</v>
      </c>
      <c r="H284" s="23"/>
    </row>
    <row r="285" spans="1:8" x14ac:dyDescent="0.35">
      <c r="A285" s="24" t="s">
        <v>216</v>
      </c>
      <c r="B285" s="24" t="s">
        <v>920</v>
      </c>
      <c r="C285" s="25" t="s">
        <v>872</v>
      </c>
      <c r="D285" s="25">
        <v>2</v>
      </c>
      <c r="E285" s="25">
        <v>126</v>
      </c>
      <c r="F285" s="25">
        <v>1113</v>
      </c>
      <c r="G285" s="25">
        <v>11321</v>
      </c>
      <c r="H285" s="25"/>
    </row>
    <row r="286" spans="1:8" x14ac:dyDescent="0.35">
      <c r="A286" s="22" t="s">
        <v>938</v>
      </c>
      <c r="B286" s="22" t="s">
        <v>1053</v>
      </c>
      <c r="C286" s="23" t="s">
        <v>872</v>
      </c>
      <c r="D286" s="23">
        <v>3</v>
      </c>
      <c r="E286" s="23">
        <v>150</v>
      </c>
      <c r="F286" s="23">
        <v>1325</v>
      </c>
      <c r="G286" s="23">
        <v>11321</v>
      </c>
      <c r="H286" s="23"/>
    </row>
    <row r="287" spans="1:8" x14ac:dyDescent="0.35">
      <c r="A287" s="24" t="s">
        <v>400</v>
      </c>
      <c r="B287" s="24" t="s">
        <v>970</v>
      </c>
      <c r="C287" s="25" t="s">
        <v>872</v>
      </c>
      <c r="D287" s="25">
        <v>2</v>
      </c>
      <c r="E287" s="25">
        <v>165</v>
      </c>
      <c r="F287" s="25">
        <v>1455</v>
      </c>
      <c r="G287" s="25">
        <v>11340</v>
      </c>
      <c r="H287" s="25"/>
    </row>
    <row r="288" spans="1:8" x14ac:dyDescent="0.35">
      <c r="A288" s="22" t="s">
        <v>1007</v>
      </c>
      <c r="B288" s="22" t="s">
        <v>1008</v>
      </c>
      <c r="C288" s="23" t="s">
        <v>872</v>
      </c>
      <c r="D288" s="23">
        <v>3</v>
      </c>
      <c r="E288" s="23">
        <v>198</v>
      </c>
      <c r="F288" s="23">
        <v>1745</v>
      </c>
      <c r="G288" s="23">
        <v>11347</v>
      </c>
      <c r="H288" s="23">
        <v>3.8</v>
      </c>
    </row>
    <row r="289" spans="1:8" x14ac:dyDescent="0.35">
      <c r="A289" s="24" t="s">
        <v>211</v>
      </c>
      <c r="B289" s="24" t="s">
        <v>918</v>
      </c>
      <c r="C289" s="25" t="s">
        <v>872</v>
      </c>
      <c r="D289" s="25">
        <v>3</v>
      </c>
      <c r="E289" s="25">
        <v>250</v>
      </c>
      <c r="F289" s="25">
        <v>2200</v>
      </c>
      <c r="G289" s="25">
        <v>11364</v>
      </c>
      <c r="H289" s="25"/>
    </row>
    <row r="290" spans="1:8" x14ac:dyDescent="0.35">
      <c r="A290" s="22" t="s">
        <v>195</v>
      </c>
      <c r="B290" s="22" t="s">
        <v>912</v>
      </c>
      <c r="C290" s="23" t="s">
        <v>872</v>
      </c>
      <c r="D290" s="23">
        <v>3</v>
      </c>
      <c r="E290" s="23">
        <v>180</v>
      </c>
      <c r="F290" s="23">
        <v>1581</v>
      </c>
      <c r="G290" s="23">
        <v>11385</v>
      </c>
      <c r="H290" s="23"/>
    </row>
    <row r="291" spans="1:8" x14ac:dyDescent="0.35">
      <c r="A291" s="24" t="s">
        <v>919</v>
      </c>
      <c r="B291" s="24" t="s">
        <v>920</v>
      </c>
      <c r="C291" s="25" t="s">
        <v>872</v>
      </c>
      <c r="D291" s="25">
        <v>2</v>
      </c>
      <c r="E291" s="25">
        <v>120</v>
      </c>
      <c r="F291" s="25">
        <v>1052</v>
      </c>
      <c r="G291" s="25">
        <v>11407</v>
      </c>
      <c r="H291" s="25">
        <v>3.7</v>
      </c>
    </row>
    <row r="292" spans="1:8" x14ac:dyDescent="0.35">
      <c r="A292" s="22" t="s">
        <v>100</v>
      </c>
      <c r="B292" s="22" t="s">
        <v>885</v>
      </c>
      <c r="C292" s="23" t="s">
        <v>872</v>
      </c>
      <c r="D292" s="23">
        <v>2</v>
      </c>
      <c r="E292" s="23">
        <v>130</v>
      </c>
      <c r="F292" s="23">
        <v>1135</v>
      </c>
      <c r="G292" s="23">
        <v>11454</v>
      </c>
      <c r="H292" s="23"/>
    </row>
    <row r="293" spans="1:8" x14ac:dyDescent="0.35">
      <c r="A293" s="24" t="s">
        <v>919</v>
      </c>
      <c r="B293" s="24" t="s">
        <v>920</v>
      </c>
      <c r="C293" s="25" t="s">
        <v>872</v>
      </c>
      <c r="D293" s="25">
        <v>2</v>
      </c>
      <c r="E293" s="25">
        <v>115</v>
      </c>
      <c r="F293" s="25">
        <v>1004</v>
      </c>
      <c r="G293" s="25">
        <v>11454</v>
      </c>
      <c r="H293" s="25">
        <v>3.7</v>
      </c>
    </row>
    <row r="294" spans="1:8" x14ac:dyDescent="0.35">
      <c r="A294" s="22" t="s">
        <v>98</v>
      </c>
      <c r="B294" s="22" t="s">
        <v>871</v>
      </c>
      <c r="C294" s="23" t="s">
        <v>872</v>
      </c>
      <c r="D294" s="23">
        <v>2</v>
      </c>
      <c r="E294" s="23">
        <v>155</v>
      </c>
      <c r="F294" s="23">
        <v>1347</v>
      </c>
      <c r="G294" s="23">
        <v>11507</v>
      </c>
      <c r="H294" s="23"/>
    </row>
    <row r="295" spans="1:8" x14ac:dyDescent="0.35">
      <c r="A295" s="24" t="s">
        <v>100</v>
      </c>
      <c r="B295" s="24" t="s">
        <v>885</v>
      </c>
      <c r="C295" s="25" t="s">
        <v>872</v>
      </c>
      <c r="D295" s="25">
        <v>2</v>
      </c>
      <c r="E295" s="25">
        <v>96</v>
      </c>
      <c r="F295" s="25">
        <v>833</v>
      </c>
      <c r="G295" s="25">
        <v>11525</v>
      </c>
      <c r="H295" s="25"/>
    </row>
    <row r="296" spans="1:8" x14ac:dyDescent="0.35">
      <c r="A296" s="22" t="s">
        <v>98</v>
      </c>
      <c r="B296" s="22" t="s">
        <v>871</v>
      </c>
      <c r="C296" s="23" t="s">
        <v>872</v>
      </c>
      <c r="D296" s="23">
        <v>2</v>
      </c>
      <c r="E296" s="23">
        <v>110</v>
      </c>
      <c r="F296" s="23">
        <v>944</v>
      </c>
      <c r="G296" s="23">
        <v>11653</v>
      </c>
      <c r="H296" s="23"/>
    </row>
    <row r="297" spans="1:8" x14ac:dyDescent="0.35">
      <c r="A297" s="24" t="s">
        <v>1020</v>
      </c>
      <c r="B297" s="24" t="s">
        <v>970</v>
      </c>
      <c r="C297" s="25" t="s">
        <v>872</v>
      </c>
      <c r="D297" s="25">
        <v>1</v>
      </c>
      <c r="E297" s="25">
        <v>78</v>
      </c>
      <c r="F297" s="25">
        <v>665</v>
      </c>
      <c r="G297" s="25">
        <v>11729</v>
      </c>
      <c r="H297" s="25">
        <v>4.3</v>
      </c>
    </row>
    <row r="298" spans="1:8" x14ac:dyDescent="0.35">
      <c r="A298" s="22" t="s">
        <v>971</v>
      </c>
      <c r="B298" s="22" t="s">
        <v>972</v>
      </c>
      <c r="C298" s="23" t="s">
        <v>872</v>
      </c>
      <c r="D298" s="23">
        <v>2</v>
      </c>
      <c r="E298" s="23">
        <v>126</v>
      </c>
      <c r="F298" s="23">
        <v>1073</v>
      </c>
      <c r="G298" s="23">
        <v>11743</v>
      </c>
      <c r="H298" s="23">
        <v>4.0999999999999996</v>
      </c>
    </row>
    <row r="299" spans="1:8" x14ac:dyDescent="0.35">
      <c r="A299" s="24" t="s">
        <v>971</v>
      </c>
      <c r="B299" s="24" t="s">
        <v>972</v>
      </c>
      <c r="C299" s="25" t="s">
        <v>872</v>
      </c>
      <c r="D299" s="25">
        <v>2</v>
      </c>
      <c r="E299" s="25">
        <v>125</v>
      </c>
      <c r="F299" s="25">
        <v>1058</v>
      </c>
      <c r="G299" s="25">
        <v>11815</v>
      </c>
      <c r="H299" s="25">
        <v>4.0999999999999996</v>
      </c>
    </row>
    <row r="300" spans="1:8" x14ac:dyDescent="0.35">
      <c r="A300" s="22" t="s">
        <v>363</v>
      </c>
      <c r="B300" s="22" t="s">
        <v>962</v>
      </c>
      <c r="C300" s="23" t="s">
        <v>872</v>
      </c>
      <c r="D300" s="23">
        <v>3</v>
      </c>
      <c r="E300" s="23">
        <v>195</v>
      </c>
      <c r="F300" s="23">
        <v>1629</v>
      </c>
      <c r="G300" s="23">
        <v>11971</v>
      </c>
      <c r="H300" s="23"/>
    </row>
    <row r="301" spans="1:8" x14ac:dyDescent="0.35">
      <c r="A301" s="24" t="s">
        <v>924</v>
      </c>
      <c r="B301" s="24" t="s">
        <v>925</v>
      </c>
      <c r="C301" s="25" t="s">
        <v>872</v>
      </c>
      <c r="D301" s="25">
        <v>2</v>
      </c>
      <c r="E301" s="25">
        <v>164</v>
      </c>
      <c r="F301" s="25">
        <v>1370</v>
      </c>
      <c r="G301" s="25">
        <v>11971</v>
      </c>
      <c r="H301" s="25">
        <v>4</v>
      </c>
    </row>
    <row r="302" spans="1:8" x14ac:dyDescent="0.35">
      <c r="A302" s="22" t="s">
        <v>948</v>
      </c>
      <c r="B302" s="22" t="s">
        <v>883</v>
      </c>
      <c r="C302" s="23" t="s">
        <v>872</v>
      </c>
      <c r="D302" s="23">
        <v>3</v>
      </c>
      <c r="E302" s="23">
        <v>159</v>
      </c>
      <c r="F302" s="23">
        <v>1315</v>
      </c>
      <c r="G302" s="23">
        <v>12091</v>
      </c>
      <c r="H302" s="23">
        <v>4.4000000000000004</v>
      </c>
    </row>
    <row r="303" spans="1:8" x14ac:dyDescent="0.35">
      <c r="A303" s="24" t="s">
        <v>195</v>
      </c>
      <c r="B303" s="24" t="s">
        <v>912</v>
      </c>
      <c r="C303" s="25" t="s">
        <v>872</v>
      </c>
      <c r="D303" s="25">
        <v>2</v>
      </c>
      <c r="E303" s="25">
        <v>88</v>
      </c>
      <c r="F303" s="25">
        <v>720</v>
      </c>
      <c r="G303" s="25">
        <v>12222</v>
      </c>
      <c r="H303" s="25"/>
    </row>
    <row r="304" spans="1:8" x14ac:dyDescent="0.35">
      <c r="A304" s="22" t="s">
        <v>938</v>
      </c>
      <c r="B304" s="22" t="s">
        <v>939</v>
      </c>
      <c r="C304" s="23" t="s">
        <v>872</v>
      </c>
      <c r="D304" s="23">
        <v>3</v>
      </c>
      <c r="E304" s="23">
        <v>220</v>
      </c>
      <c r="F304" s="23">
        <v>1800</v>
      </c>
      <c r="G304" s="23">
        <v>12222</v>
      </c>
      <c r="H304" s="23"/>
    </row>
    <row r="305" spans="1:8" x14ac:dyDescent="0.35">
      <c r="A305" s="24" t="s">
        <v>100</v>
      </c>
      <c r="B305" s="24" t="s">
        <v>885</v>
      </c>
      <c r="C305" s="25" t="s">
        <v>872</v>
      </c>
      <c r="D305" s="25">
        <v>3</v>
      </c>
      <c r="E305" s="25">
        <v>215</v>
      </c>
      <c r="F305" s="25">
        <v>1744</v>
      </c>
      <c r="G305" s="25">
        <v>12328</v>
      </c>
      <c r="H305" s="25"/>
    </row>
    <row r="306" spans="1:8" x14ac:dyDescent="0.35">
      <c r="A306" s="22" t="s">
        <v>632</v>
      </c>
      <c r="B306" s="22" t="s">
        <v>11</v>
      </c>
      <c r="C306" s="23" t="s">
        <v>872</v>
      </c>
      <c r="D306" s="23">
        <v>4</v>
      </c>
      <c r="E306" s="23">
        <v>255</v>
      </c>
      <c r="F306" s="23">
        <v>2067</v>
      </c>
      <c r="G306" s="23">
        <v>12337</v>
      </c>
      <c r="H306" s="23"/>
    </row>
    <row r="307" spans="1:8" x14ac:dyDescent="0.35">
      <c r="A307" s="24" t="s">
        <v>928</v>
      </c>
      <c r="B307" s="24" t="s">
        <v>929</v>
      </c>
      <c r="C307" s="25" t="s">
        <v>872</v>
      </c>
      <c r="D307" s="25">
        <v>2</v>
      </c>
      <c r="E307" s="25">
        <v>125</v>
      </c>
      <c r="F307" s="25">
        <v>1012</v>
      </c>
      <c r="G307" s="25">
        <v>12352</v>
      </c>
      <c r="H307" s="25">
        <v>4.2</v>
      </c>
    </row>
    <row r="308" spans="1:8" x14ac:dyDescent="0.35">
      <c r="A308" s="22" t="s">
        <v>98</v>
      </c>
      <c r="B308" s="22" t="s">
        <v>871</v>
      </c>
      <c r="C308" s="23" t="s">
        <v>872</v>
      </c>
      <c r="D308" s="23">
        <v>3</v>
      </c>
      <c r="E308" s="23">
        <v>190</v>
      </c>
      <c r="F308" s="23">
        <v>1536</v>
      </c>
      <c r="G308" s="23">
        <v>12370</v>
      </c>
      <c r="H308" s="23"/>
    </row>
    <row r="309" spans="1:8" x14ac:dyDescent="0.35">
      <c r="A309" s="24" t="s">
        <v>1043</v>
      </c>
      <c r="B309" s="24" t="s">
        <v>1044</v>
      </c>
      <c r="C309" s="25" t="s">
        <v>872</v>
      </c>
      <c r="D309" s="25">
        <v>3</v>
      </c>
      <c r="E309" s="25">
        <v>250</v>
      </c>
      <c r="F309" s="25">
        <v>2000</v>
      </c>
      <c r="G309" s="25">
        <v>12500</v>
      </c>
      <c r="H309" s="25"/>
    </row>
    <row r="310" spans="1:8" x14ac:dyDescent="0.35">
      <c r="A310" s="22" t="s">
        <v>947</v>
      </c>
      <c r="B310" s="22" t="s">
        <v>23</v>
      </c>
      <c r="C310" s="23" t="s">
        <v>872</v>
      </c>
      <c r="D310" s="23">
        <v>2</v>
      </c>
      <c r="E310" s="23">
        <v>155</v>
      </c>
      <c r="F310" s="23">
        <v>1240</v>
      </c>
      <c r="G310" s="23">
        <v>12500</v>
      </c>
      <c r="H310" s="23">
        <v>3.7</v>
      </c>
    </row>
    <row r="311" spans="1:8" x14ac:dyDescent="0.35">
      <c r="A311" s="24" t="s">
        <v>938</v>
      </c>
      <c r="B311" s="24" t="s">
        <v>1047</v>
      </c>
      <c r="C311" s="25" t="s">
        <v>872</v>
      </c>
      <c r="D311" s="25">
        <v>3</v>
      </c>
      <c r="E311" s="25">
        <v>275</v>
      </c>
      <c r="F311" s="25">
        <v>2200</v>
      </c>
      <c r="G311" s="25">
        <v>12500</v>
      </c>
      <c r="H311" s="25"/>
    </row>
    <row r="312" spans="1:8" x14ac:dyDescent="0.35">
      <c r="A312" s="22" t="s">
        <v>971</v>
      </c>
      <c r="B312" s="22" t="s">
        <v>972</v>
      </c>
      <c r="C312" s="23" t="s">
        <v>872</v>
      </c>
      <c r="D312" s="23">
        <v>3</v>
      </c>
      <c r="E312" s="23">
        <v>213</v>
      </c>
      <c r="F312" s="23">
        <v>1702</v>
      </c>
      <c r="G312" s="23">
        <v>12515</v>
      </c>
      <c r="H312" s="23">
        <v>4.0999999999999996</v>
      </c>
    </row>
    <row r="313" spans="1:8" x14ac:dyDescent="0.35">
      <c r="A313" s="24" t="s">
        <v>938</v>
      </c>
      <c r="B313" s="24" t="s">
        <v>1092</v>
      </c>
      <c r="C313" s="25" t="s">
        <v>872</v>
      </c>
      <c r="D313" s="25">
        <v>3</v>
      </c>
      <c r="E313" s="25">
        <v>245</v>
      </c>
      <c r="F313" s="25">
        <v>1950</v>
      </c>
      <c r="G313" s="25">
        <v>12564</v>
      </c>
      <c r="H313" s="25"/>
    </row>
    <row r="314" spans="1:8" x14ac:dyDescent="0.35">
      <c r="A314" s="22" t="s">
        <v>1063</v>
      </c>
      <c r="B314" s="22" t="s">
        <v>871</v>
      </c>
      <c r="C314" s="23" t="s">
        <v>872</v>
      </c>
      <c r="D314" s="23">
        <v>3</v>
      </c>
      <c r="E314" s="23">
        <v>175</v>
      </c>
      <c r="F314" s="23">
        <v>1387</v>
      </c>
      <c r="G314" s="23">
        <v>12617</v>
      </c>
      <c r="H314" s="23">
        <v>3.6</v>
      </c>
    </row>
    <row r="315" spans="1:8" x14ac:dyDescent="0.35">
      <c r="A315" s="24" t="s">
        <v>132</v>
      </c>
      <c r="B315" s="24" t="s">
        <v>895</v>
      </c>
      <c r="C315" s="25" t="s">
        <v>875</v>
      </c>
      <c r="D315" s="25">
        <v>4</v>
      </c>
      <c r="E315" s="25">
        <v>240</v>
      </c>
      <c r="F315" s="25">
        <v>1900</v>
      </c>
      <c r="G315" s="25">
        <v>12632</v>
      </c>
      <c r="H315" s="25"/>
    </row>
    <row r="316" spans="1:8" x14ac:dyDescent="0.35">
      <c r="A316" s="22" t="s">
        <v>351</v>
      </c>
      <c r="B316" s="22" t="s">
        <v>959</v>
      </c>
      <c r="C316" s="23" t="s">
        <v>872</v>
      </c>
      <c r="D316" s="23">
        <v>3</v>
      </c>
      <c r="E316" s="23">
        <v>220</v>
      </c>
      <c r="F316" s="23">
        <v>1740</v>
      </c>
      <c r="G316" s="23">
        <v>12644</v>
      </c>
      <c r="H316" s="23"/>
    </row>
    <row r="317" spans="1:8" x14ac:dyDescent="0.35">
      <c r="A317" s="24" t="s">
        <v>613</v>
      </c>
      <c r="B317" s="24" t="s">
        <v>23</v>
      </c>
      <c r="C317" s="25" t="s">
        <v>872</v>
      </c>
      <c r="D317" s="25">
        <v>1</v>
      </c>
      <c r="E317" s="25">
        <v>83</v>
      </c>
      <c r="F317" s="25">
        <v>655</v>
      </c>
      <c r="G317" s="25">
        <v>12672</v>
      </c>
      <c r="H317" s="25"/>
    </row>
    <row r="318" spans="1:8" x14ac:dyDescent="0.35">
      <c r="A318" s="22" t="s">
        <v>98</v>
      </c>
      <c r="B318" s="22" t="s">
        <v>871</v>
      </c>
      <c r="C318" s="23" t="s">
        <v>872</v>
      </c>
      <c r="D318" s="23">
        <v>3</v>
      </c>
      <c r="E318" s="23">
        <v>195</v>
      </c>
      <c r="F318" s="23">
        <v>1536</v>
      </c>
      <c r="G318" s="23">
        <v>12695</v>
      </c>
      <c r="H318" s="23"/>
    </row>
    <row r="319" spans="1:8" x14ac:dyDescent="0.35">
      <c r="A319" s="24" t="s">
        <v>948</v>
      </c>
      <c r="B319" s="24" t="s">
        <v>883</v>
      </c>
      <c r="C319" s="25" t="s">
        <v>872</v>
      </c>
      <c r="D319" s="25">
        <v>4</v>
      </c>
      <c r="E319" s="25">
        <v>284</v>
      </c>
      <c r="F319" s="25">
        <v>2204</v>
      </c>
      <c r="G319" s="25">
        <v>12886</v>
      </c>
      <c r="H319" s="25">
        <v>4.4000000000000004</v>
      </c>
    </row>
    <row r="320" spans="1:8" x14ac:dyDescent="0.35">
      <c r="A320" s="22" t="s">
        <v>877</v>
      </c>
      <c r="B320" s="22" t="s">
        <v>25</v>
      </c>
      <c r="C320" s="23" t="s">
        <v>872</v>
      </c>
      <c r="D320" s="23">
        <v>3</v>
      </c>
      <c r="E320" s="23">
        <v>230</v>
      </c>
      <c r="F320" s="23">
        <v>1771</v>
      </c>
      <c r="G320" s="23">
        <v>12987</v>
      </c>
      <c r="H320" s="23">
        <v>3.9</v>
      </c>
    </row>
    <row r="321" spans="1:8" x14ac:dyDescent="0.35">
      <c r="A321" s="24" t="s">
        <v>100</v>
      </c>
      <c r="B321" s="24" t="s">
        <v>885</v>
      </c>
      <c r="C321" s="25" t="s">
        <v>872</v>
      </c>
      <c r="D321" s="25">
        <v>3</v>
      </c>
      <c r="E321" s="25">
        <v>230</v>
      </c>
      <c r="F321" s="25">
        <v>1758</v>
      </c>
      <c r="G321" s="25">
        <v>13083</v>
      </c>
      <c r="H321" s="25"/>
    </row>
    <row r="322" spans="1:8" x14ac:dyDescent="0.35">
      <c r="A322" s="22" t="s">
        <v>132</v>
      </c>
      <c r="B322" s="22" t="s">
        <v>895</v>
      </c>
      <c r="C322" s="23" t="s">
        <v>875</v>
      </c>
      <c r="D322" s="23">
        <v>4</v>
      </c>
      <c r="E322" s="23">
        <v>250</v>
      </c>
      <c r="F322" s="23">
        <v>1900</v>
      </c>
      <c r="G322" s="23">
        <v>13158</v>
      </c>
      <c r="H322" s="23"/>
    </row>
    <row r="323" spans="1:8" x14ac:dyDescent="0.35">
      <c r="A323" s="24" t="s">
        <v>630</v>
      </c>
      <c r="B323" s="24" t="s">
        <v>11</v>
      </c>
      <c r="C323" s="25" t="s">
        <v>872</v>
      </c>
      <c r="D323" s="25">
        <v>3</v>
      </c>
      <c r="E323" s="25">
        <v>240</v>
      </c>
      <c r="F323" s="25">
        <v>1817</v>
      </c>
      <c r="G323" s="25">
        <v>13209</v>
      </c>
      <c r="H323" s="25">
        <v>4.3</v>
      </c>
    </row>
    <row r="324" spans="1:8" x14ac:dyDescent="0.35">
      <c r="A324" s="22" t="s">
        <v>938</v>
      </c>
      <c r="B324" s="22" t="s">
        <v>1026</v>
      </c>
      <c r="C324" s="23" t="s">
        <v>872</v>
      </c>
      <c r="D324" s="23">
        <v>3</v>
      </c>
      <c r="E324" s="23">
        <v>265</v>
      </c>
      <c r="F324" s="23">
        <v>2000</v>
      </c>
      <c r="G324" s="23">
        <v>13250</v>
      </c>
      <c r="H324" s="23"/>
    </row>
    <row r="325" spans="1:8" ht="23" x14ac:dyDescent="0.35">
      <c r="A325" s="24" t="s">
        <v>404</v>
      </c>
      <c r="B325" s="24" t="s">
        <v>876</v>
      </c>
      <c r="C325" s="25" t="s">
        <v>872</v>
      </c>
      <c r="D325" s="25">
        <v>3</v>
      </c>
      <c r="E325" s="25">
        <v>218</v>
      </c>
      <c r="F325" s="25">
        <v>1645</v>
      </c>
      <c r="G325" s="25">
        <v>13252</v>
      </c>
      <c r="H325" s="25"/>
    </row>
    <row r="326" spans="1:8" x14ac:dyDescent="0.35">
      <c r="A326" s="22" t="s">
        <v>928</v>
      </c>
      <c r="B326" s="22" t="s">
        <v>929</v>
      </c>
      <c r="C326" s="23" t="s">
        <v>872</v>
      </c>
      <c r="D326" s="23">
        <v>2</v>
      </c>
      <c r="E326" s="23">
        <v>160</v>
      </c>
      <c r="F326" s="23">
        <v>1205</v>
      </c>
      <c r="G326" s="23">
        <v>13278</v>
      </c>
      <c r="H326" s="23">
        <v>4.2</v>
      </c>
    </row>
    <row r="327" spans="1:8" x14ac:dyDescent="0.35">
      <c r="A327" s="24" t="s">
        <v>968</v>
      </c>
      <c r="B327" s="24" t="s">
        <v>969</v>
      </c>
      <c r="C327" s="25" t="s">
        <v>872</v>
      </c>
      <c r="D327" s="25">
        <v>3</v>
      </c>
      <c r="E327" s="25">
        <v>228</v>
      </c>
      <c r="F327" s="25">
        <v>1708</v>
      </c>
      <c r="G327" s="25">
        <v>13349</v>
      </c>
      <c r="H327" s="25"/>
    </row>
    <row r="328" spans="1:8" x14ac:dyDescent="0.35">
      <c r="A328" s="22" t="s">
        <v>947</v>
      </c>
      <c r="B328" s="22" t="s">
        <v>23</v>
      </c>
      <c r="C328" s="23" t="s">
        <v>872</v>
      </c>
      <c r="D328" s="23">
        <v>3</v>
      </c>
      <c r="E328" s="23">
        <v>245</v>
      </c>
      <c r="F328" s="23">
        <v>1810</v>
      </c>
      <c r="G328" s="23">
        <v>13536</v>
      </c>
      <c r="H328" s="23">
        <v>3.7</v>
      </c>
    </row>
    <row r="329" spans="1:8" x14ac:dyDescent="0.35">
      <c r="A329" s="24" t="s">
        <v>630</v>
      </c>
      <c r="B329" s="24" t="s">
        <v>11</v>
      </c>
      <c r="C329" s="25" t="s">
        <v>872</v>
      </c>
      <c r="D329" s="25">
        <v>3</v>
      </c>
      <c r="E329" s="25">
        <v>210</v>
      </c>
      <c r="F329" s="25">
        <v>1550</v>
      </c>
      <c r="G329" s="25">
        <v>13548</v>
      </c>
      <c r="H329" s="25">
        <v>4.3</v>
      </c>
    </row>
    <row r="330" spans="1:8" x14ac:dyDescent="0.35">
      <c r="A330" s="22" t="s">
        <v>968</v>
      </c>
      <c r="B330" s="22" t="s">
        <v>969</v>
      </c>
      <c r="C330" s="23" t="s">
        <v>872</v>
      </c>
      <c r="D330" s="23">
        <v>3</v>
      </c>
      <c r="E330" s="23">
        <v>225</v>
      </c>
      <c r="F330" s="23">
        <v>1658</v>
      </c>
      <c r="G330" s="23">
        <v>13571</v>
      </c>
      <c r="H330" s="23"/>
    </row>
    <row r="331" spans="1:8" x14ac:dyDescent="0.35">
      <c r="A331" s="24" t="s">
        <v>995</v>
      </c>
      <c r="B331" s="24" t="s">
        <v>996</v>
      </c>
      <c r="C331" s="25" t="s">
        <v>872</v>
      </c>
      <c r="D331" s="25">
        <v>3</v>
      </c>
      <c r="E331" s="25">
        <v>231</v>
      </c>
      <c r="F331" s="25">
        <v>1697</v>
      </c>
      <c r="G331" s="25">
        <v>13612</v>
      </c>
      <c r="H331" s="25">
        <v>4.3</v>
      </c>
    </row>
    <row r="332" spans="1:8" x14ac:dyDescent="0.35">
      <c r="A332" s="22" t="s">
        <v>523</v>
      </c>
      <c r="B332" s="22" t="s">
        <v>998</v>
      </c>
      <c r="C332" s="23" t="s">
        <v>872</v>
      </c>
      <c r="D332" s="23">
        <v>3</v>
      </c>
      <c r="E332" s="23">
        <v>320</v>
      </c>
      <c r="F332" s="23">
        <v>2350</v>
      </c>
      <c r="G332" s="23">
        <v>13617</v>
      </c>
      <c r="H332" s="23"/>
    </row>
    <row r="333" spans="1:8" x14ac:dyDescent="0.35">
      <c r="A333" s="24" t="s">
        <v>995</v>
      </c>
      <c r="B333" s="24" t="s">
        <v>996</v>
      </c>
      <c r="C333" s="25" t="s">
        <v>872</v>
      </c>
      <c r="D333" s="25">
        <v>2</v>
      </c>
      <c r="E333" s="25">
        <v>163</v>
      </c>
      <c r="F333" s="25">
        <v>1195</v>
      </c>
      <c r="G333" s="25">
        <v>13640</v>
      </c>
      <c r="H333" s="25">
        <v>4.3</v>
      </c>
    </row>
    <row r="334" spans="1:8" x14ac:dyDescent="0.35">
      <c r="A334" s="22" t="s">
        <v>400</v>
      </c>
      <c r="B334" s="22" t="s">
        <v>970</v>
      </c>
      <c r="C334" s="23" t="s">
        <v>872</v>
      </c>
      <c r="D334" s="23">
        <v>3</v>
      </c>
      <c r="E334" s="23">
        <v>240</v>
      </c>
      <c r="F334" s="23">
        <v>1750</v>
      </c>
      <c r="G334" s="23">
        <v>13714</v>
      </c>
      <c r="H334" s="23"/>
    </row>
    <row r="335" spans="1:8" x14ac:dyDescent="0.35">
      <c r="A335" s="24" t="s">
        <v>977</v>
      </c>
      <c r="B335" s="24" t="s">
        <v>11</v>
      </c>
      <c r="C335" s="25" t="s">
        <v>872</v>
      </c>
      <c r="D335" s="25">
        <v>1</v>
      </c>
      <c r="E335" s="25">
        <v>92</v>
      </c>
      <c r="F335" s="25">
        <v>670</v>
      </c>
      <c r="G335" s="25">
        <v>13731</v>
      </c>
      <c r="H335" s="25">
        <v>3.7</v>
      </c>
    </row>
    <row r="336" spans="1:8" x14ac:dyDescent="0.35">
      <c r="A336" s="22" t="s">
        <v>630</v>
      </c>
      <c r="B336" s="22" t="s">
        <v>11</v>
      </c>
      <c r="C336" s="23" t="s">
        <v>872</v>
      </c>
      <c r="D336" s="23">
        <v>3</v>
      </c>
      <c r="E336" s="23">
        <v>250</v>
      </c>
      <c r="F336" s="23">
        <v>1817</v>
      </c>
      <c r="G336" s="23">
        <v>13759</v>
      </c>
      <c r="H336" s="23">
        <v>4.3</v>
      </c>
    </row>
    <row r="337" spans="1:8" x14ac:dyDescent="0.35">
      <c r="A337" s="24" t="s">
        <v>893</v>
      </c>
      <c r="B337" s="24" t="s">
        <v>894</v>
      </c>
      <c r="C337" s="25" t="s">
        <v>872</v>
      </c>
      <c r="D337" s="25">
        <v>3</v>
      </c>
      <c r="E337" s="25">
        <v>255</v>
      </c>
      <c r="F337" s="25">
        <v>1852</v>
      </c>
      <c r="G337" s="25">
        <v>13769</v>
      </c>
      <c r="H337" s="25">
        <v>3.7</v>
      </c>
    </row>
    <row r="338" spans="1:8" x14ac:dyDescent="0.35">
      <c r="A338" s="22" t="s">
        <v>630</v>
      </c>
      <c r="B338" s="22" t="s">
        <v>11</v>
      </c>
      <c r="C338" s="23" t="s">
        <v>872</v>
      </c>
      <c r="D338" s="23">
        <v>4</v>
      </c>
      <c r="E338" s="23">
        <v>305</v>
      </c>
      <c r="F338" s="23">
        <v>2207</v>
      </c>
      <c r="G338" s="23">
        <v>13820</v>
      </c>
      <c r="H338" s="23">
        <v>4.3</v>
      </c>
    </row>
    <row r="339" spans="1:8" x14ac:dyDescent="0.35">
      <c r="A339" s="24" t="s">
        <v>997</v>
      </c>
      <c r="B339" s="24" t="s">
        <v>22</v>
      </c>
      <c r="C339" s="25" t="s">
        <v>872</v>
      </c>
      <c r="D339" s="25">
        <v>2</v>
      </c>
      <c r="E339" s="25">
        <v>180</v>
      </c>
      <c r="F339" s="25">
        <v>1300</v>
      </c>
      <c r="G339" s="25">
        <v>13846</v>
      </c>
      <c r="H339" s="25">
        <v>4</v>
      </c>
    </row>
    <row r="340" spans="1:8" x14ac:dyDescent="0.35">
      <c r="A340" s="22" t="s">
        <v>1004</v>
      </c>
      <c r="B340" s="22" t="s">
        <v>876</v>
      </c>
      <c r="C340" s="23" t="s">
        <v>872</v>
      </c>
      <c r="D340" s="23">
        <v>2</v>
      </c>
      <c r="E340" s="23">
        <v>152</v>
      </c>
      <c r="F340" s="23">
        <v>1097</v>
      </c>
      <c r="G340" s="23">
        <v>13856</v>
      </c>
      <c r="H340" s="23">
        <v>3.8</v>
      </c>
    </row>
    <row r="341" spans="1:8" x14ac:dyDescent="0.35">
      <c r="A341" s="24" t="s">
        <v>1076</v>
      </c>
      <c r="B341" s="24" t="s">
        <v>1077</v>
      </c>
      <c r="C341" s="25" t="s">
        <v>872</v>
      </c>
      <c r="D341" s="25">
        <v>2</v>
      </c>
      <c r="E341" s="25">
        <v>180</v>
      </c>
      <c r="F341" s="25">
        <v>1294</v>
      </c>
      <c r="G341" s="25">
        <v>13910</v>
      </c>
      <c r="H341" s="25">
        <v>4</v>
      </c>
    </row>
    <row r="342" spans="1:8" x14ac:dyDescent="0.35">
      <c r="A342" s="22" t="s">
        <v>971</v>
      </c>
      <c r="B342" s="22" t="s">
        <v>972</v>
      </c>
      <c r="C342" s="23" t="s">
        <v>872</v>
      </c>
      <c r="D342" s="23">
        <v>1</v>
      </c>
      <c r="E342" s="23">
        <v>85</v>
      </c>
      <c r="F342" s="23">
        <v>607</v>
      </c>
      <c r="G342" s="23">
        <v>14003</v>
      </c>
      <c r="H342" s="23">
        <v>4.0999999999999996</v>
      </c>
    </row>
    <row r="343" spans="1:8" x14ac:dyDescent="0.35">
      <c r="A343" s="24" t="s">
        <v>855</v>
      </c>
      <c r="B343" s="24" t="s">
        <v>1098</v>
      </c>
      <c r="C343" s="25" t="s">
        <v>872</v>
      </c>
      <c r="D343" s="25">
        <v>3</v>
      </c>
      <c r="E343" s="25">
        <v>255</v>
      </c>
      <c r="F343" s="25">
        <v>1813</v>
      </c>
      <c r="G343" s="25">
        <v>14065</v>
      </c>
      <c r="H343" s="25"/>
    </row>
    <row r="344" spans="1:8" x14ac:dyDescent="0.35">
      <c r="A344" s="22" t="s">
        <v>1004</v>
      </c>
      <c r="B344" s="22" t="s">
        <v>876</v>
      </c>
      <c r="C344" s="23" t="s">
        <v>872</v>
      </c>
      <c r="D344" s="23">
        <v>2</v>
      </c>
      <c r="E344" s="23">
        <v>155</v>
      </c>
      <c r="F344" s="23">
        <v>1097</v>
      </c>
      <c r="G344" s="23">
        <v>14129</v>
      </c>
      <c r="H344" s="23">
        <v>3.8</v>
      </c>
    </row>
    <row r="345" spans="1:8" x14ac:dyDescent="0.35">
      <c r="A345" s="24" t="s">
        <v>400</v>
      </c>
      <c r="B345" s="24" t="s">
        <v>970</v>
      </c>
      <c r="C345" s="25" t="s">
        <v>872</v>
      </c>
      <c r="D345" s="25">
        <v>3</v>
      </c>
      <c r="E345" s="25">
        <v>275</v>
      </c>
      <c r="F345" s="25">
        <v>1939</v>
      </c>
      <c r="G345" s="25">
        <v>14183</v>
      </c>
      <c r="H345" s="25"/>
    </row>
    <row r="346" spans="1:8" x14ac:dyDescent="0.35">
      <c r="A346" s="22" t="s">
        <v>877</v>
      </c>
      <c r="B346" s="22" t="s">
        <v>25</v>
      </c>
      <c r="C346" s="23" t="s">
        <v>872</v>
      </c>
      <c r="D346" s="23">
        <v>3</v>
      </c>
      <c r="E346" s="23">
        <v>192</v>
      </c>
      <c r="F346" s="23">
        <v>1348</v>
      </c>
      <c r="G346" s="23">
        <v>14243</v>
      </c>
      <c r="H346" s="23">
        <v>3.9</v>
      </c>
    </row>
    <row r="347" spans="1:8" x14ac:dyDescent="0.35">
      <c r="A347" s="24" t="s">
        <v>915</v>
      </c>
      <c r="B347" s="24" t="s">
        <v>871</v>
      </c>
      <c r="C347" s="25" t="s">
        <v>872</v>
      </c>
      <c r="D347" s="25">
        <v>3</v>
      </c>
      <c r="E347" s="25">
        <v>255</v>
      </c>
      <c r="F347" s="25">
        <v>1784</v>
      </c>
      <c r="G347" s="25">
        <v>14294</v>
      </c>
      <c r="H347" s="25">
        <v>3.8</v>
      </c>
    </row>
    <row r="348" spans="1:8" x14ac:dyDescent="0.35">
      <c r="A348" s="22" t="s">
        <v>98</v>
      </c>
      <c r="B348" s="22" t="s">
        <v>871</v>
      </c>
      <c r="C348" s="23" t="s">
        <v>872</v>
      </c>
      <c r="D348" s="23">
        <v>3</v>
      </c>
      <c r="E348" s="23">
        <v>240</v>
      </c>
      <c r="F348" s="23">
        <v>1657</v>
      </c>
      <c r="G348" s="23">
        <v>14484</v>
      </c>
      <c r="H348" s="23"/>
    </row>
    <row r="349" spans="1:8" ht="23" x14ac:dyDescent="0.35">
      <c r="A349" s="24" t="s">
        <v>404</v>
      </c>
      <c r="B349" s="24" t="s">
        <v>876</v>
      </c>
      <c r="C349" s="25" t="s">
        <v>872</v>
      </c>
      <c r="D349" s="25">
        <v>2</v>
      </c>
      <c r="E349" s="25">
        <v>180</v>
      </c>
      <c r="F349" s="25">
        <v>1242</v>
      </c>
      <c r="G349" s="25">
        <v>14493</v>
      </c>
      <c r="H349" s="25"/>
    </row>
    <row r="350" spans="1:8" x14ac:dyDescent="0.35">
      <c r="A350" s="22" t="s">
        <v>986</v>
      </c>
      <c r="B350" s="22" t="s">
        <v>987</v>
      </c>
      <c r="C350" s="23" t="s">
        <v>872</v>
      </c>
      <c r="D350" s="23">
        <v>2</v>
      </c>
      <c r="E350" s="23">
        <v>190</v>
      </c>
      <c r="F350" s="23">
        <v>1268</v>
      </c>
      <c r="G350" s="23">
        <v>14984</v>
      </c>
      <c r="H350" s="23"/>
    </row>
    <row r="351" spans="1:8" x14ac:dyDescent="0.35">
      <c r="A351" s="24" t="s">
        <v>149</v>
      </c>
      <c r="B351" s="24" t="s">
        <v>899</v>
      </c>
      <c r="C351" s="25" t="s">
        <v>872</v>
      </c>
      <c r="D351" s="25">
        <v>3</v>
      </c>
      <c r="E351" s="25">
        <v>330</v>
      </c>
      <c r="F351" s="25">
        <v>2200</v>
      </c>
      <c r="G351" s="25">
        <v>15000</v>
      </c>
      <c r="H351" s="25"/>
    </row>
    <row r="352" spans="1:8" x14ac:dyDescent="0.35">
      <c r="A352" s="22" t="s">
        <v>938</v>
      </c>
      <c r="B352" s="22" t="s">
        <v>20</v>
      </c>
      <c r="C352" s="23" t="s">
        <v>872</v>
      </c>
      <c r="D352" s="23">
        <v>3</v>
      </c>
      <c r="E352" s="23">
        <v>330</v>
      </c>
      <c r="F352" s="23">
        <v>2200</v>
      </c>
      <c r="G352" s="23">
        <v>15000</v>
      </c>
      <c r="H352" s="23"/>
    </row>
    <row r="353" spans="1:8" x14ac:dyDescent="0.35">
      <c r="A353" s="24" t="s">
        <v>877</v>
      </c>
      <c r="B353" s="24" t="s">
        <v>25</v>
      </c>
      <c r="C353" s="25" t="s">
        <v>872</v>
      </c>
      <c r="D353" s="25">
        <v>2</v>
      </c>
      <c r="E353" s="25">
        <v>170</v>
      </c>
      <c r="F353" s="25">
        <v>1130</v>
      </c>
      <c r="G353" s="25">
        <v>15044</v>
      </c>
      <c r="H353" s="25">
        <v>3.9</v>
      </c>
    </row>
    <row r="354" spans="1:8" x14ac:dyDescent="0.35">
      <c r="A354" s="22" t="s">
        <v>1022</v>
      </c>
      <c r="B354" s="22" t="s">
        <v>23</v>
      </c>
      <c r="C354" s="23" t="s">
        <v>872</v>
      </c>
      <c r="D354" s="23">
        <v>3</v>
      </c>
      <c r="E354" s="23">
        <v>310</v>
      </c>
      <c r="F354" s="23">
        <v>2041</v>
      </c>
      <c r="G354" s="23">
        <v>15189</v>
      </c>
      <c r="H354" s="23">
        <v>4.0999999999999996</v>
      </c>
    </row>
    <row r="355" spans="1:8" x14ac:dyDescent="0.35">
      <c r="A355" s="24" t="s">
        <v>178</v>
      </c>
      <c r="B355" s="24" t="s">
        <v>908</v>
      </c>
      <c r="C355" s="25" t="s">
        <v>872</v>
      </c>
      <c r="D355" s="25">
        <v>3</v>
      </c>
      <c r="E355" s="25">
        <v>230</v>
      </c>
      <c r="F355" s="25">
        <v>1508</v>
      </c>
      <c r="G355" s="25">
        <v>15252</v>
      </c>
      <c r="H355" s="25"/>
    </row>
    <row r="356" spans="1:8" x14ac:dyDescent="0.35">
      <c r="A356" s="22" t="s">
        <v>195</v>
      </c>
      <c r="B356" s="22" t="s">
        <v>912</v>
      </c>
      <c r="C356" s="23" t="s">
        <v>872</v>
      </c>
      <c r="D356" s="23">
        <v>2</v>
      </c>
      <c r="E356" s="23">
        <v>110</v>
      </c>
      <c r="F356" s="23">
        <v>720</v>
      </c>
      <c r="G356" s="23">
        <v>15278</v>
      </c>
      <c r="H356" s="23"/>
    </row>
    <row r="357" spans="1:8" x14ac:dyDescent="0.35">
      <c r="A357" s="24" t="s">
        <v>1048</v>
      </c>
      <c r="B357" s="24" t="s">
        <v>895</v>
      </c>
      <c r="C357" s="25" t="s">
        <v>872</v>
      </c>
      <c r="D357" s="25">
        <v>1</v>
      </c>
      <c r="E357" s="25">
        <v>69</v>
      </c>
      <c r="F357" s="25">
        <v>442</v>
      </c>
      <c r="G357" s="25">
        <v>15611</v>
      </c>
      <c r="H357" s="25"/>
    </row>
    <row r="358" spans="1:8" x14ac:dyDescent="0.35">
      <c r="A358" s="22" t="s">
        <v>947</v>
      </c>
      <c r="B358" s="22" t="s">
        <v>23</v>
      </c>
      <c r="C358" s="23" t="s">
        <v>872</v>
      </c>
      <c r="D358" s="23">
        <v>3</v>
      </c>
      <c r="E358" s="23">
        <v>260</v>
      </c>
      <c r="F358" s="23">
        <v>1665</v>
      </c>
      <c r="G358" s="23">
        <v>15616</v>
      </c>
      <c r="H358" s="23">
        <v>3.7</v>
      </c>
    </row>
    <row r="359" spans="1:8" x14ac:dyDescent="0.35">
      <c r="A359" s="24" t="s">
        <v>877</v>
      </c>
      <c r="B359" s="24" t="s">
        <v>25</v>
      </c>
      <c r="C359" s="25" t="s">
        <v>872</v>
      </c>
      <c r="D359" s="25">
        <v>4</v>
      </c>
      <c r="E359" s="25">
        <v>278</v>
      </c>
      <c r="F359" s="25">
        <v>1771</v>
      </c>
      <c r="G359" s="25">
        <v>15697</v>
      </c>
      <c r="H359" s="25">
        <v>3.9</v>
      </c>
    </row>
    <row r="360" spans="1:8" x14ac:dyDescent="0.35">
      <c r="A360" s="22" t="s">
        <v>1005</v>
      </c>
      <c r="B360" s="22" t="s">
        <v>1006</v>
      </c>
      <c r="C360" s="23" t="s">
        <v>872</v>
      </c>
      <c r="D360" s="23">
        <v>3</v>
      </c>
      <c r="E360" s="23">
        <v>400</v>
      </c>
      <c r="F360" s="23">
        <v>2535</v>
      </c>
      <c r="G360" s="23">
        <v>15779</v>
      </c>
      <c r="H360" s="23">
        <v>4</v>
      </c>
    </row>
    <row r="361" spans="1:8" x14ac:dyDescent="0.35">
      <c r="A361" s="24" t="s">
        <v>630</v>
      </c>
      <c r="B361" s="24" t="s">
        <v>11</v>
      </c>
      <c r="C361" s="25" t="s">
        <v>872</v>
      </c>
      <c r="D361" s="25">
        <v>4</v>
      </c>
      <c r="E361" s="25">
        <v>350</v>
      </c>
      <c r="F361" s="25">
        <v>2200</v>
      </c>
      <c r="G361" s="25">
        <v>15909</v>
      </c>
      <c r="H361" s="25">
        <v>4.3</v>
      </c>
    </row>
    <row r="362" spans="1:8" x14ac:dyDescent="0.35">
      <c r="A362" s="22" t="s">
        <v>947</v>
      </c>
      <c r="B362" s="22" t="s">
        <v>23</v>
      </c>
      <c r="C362" s="23" t="s">
        <v>872</v>
      </c>
      <c r="D362" s="23">
        <v>3</v>
      </c>
      <c r="E362" s="23">
        <v>265</v>
      </c>
      <c r="F362" s="23">
        <v>1665</v>
      </c>
      <c r="G362" s="23">
        <v>15916</v>
      </c>
      <c r="H362" s="23">
        <v>3.7</v>
      </c>
    </row>
    <row r="363" spans="1:8" x14ac:dyDescent="0.35">
      <c r="A363" s="24" t="s">
        <v>870</v>
      </c>
      <c r="B363" s="24" t="s">
        <v>871</v>
      </c>
      <c r="C363" s="25" t="s">
        <v>872</v>
      </c>
      <c r="D363" s="25">
        <v>3</v>
      </c>
      <c r="E363" s="25">
        <v>240</v>
      </c>
      <c r="F363" s="25">
        <v>1507</v>
      </c>
      <c r="G363" s="25">
        <v>15926</v>
      </c>
      <c r="H363" s="25">
        <v>4.2</v>
      </c>
    </row>
    <row r="364" spans="1:8" x14ac:dyDescent="0.35">
      <c r="A364" s="22" t="s">
        <v>870</v>
      </c>
      <c r="B364" s="22" t="s">
        <v>873</v>
      </c>
      <c r="C364" s="23" t="s">
        <v>872</v>
      </c>
      <c r="D364" s="23">
        <v>3</v>
      </c>
      <c r="E364" s="23">
        <v>288</v>
      </c>
      <c r="F364" s="23">
        <v>1800</v>
      </c>
      <c r="G364" s="23">
        <v>16000</v>
      </c>
      <c r="H364" s="23">
        <v>4.2</v>
      </c>
    </row>
    <row r="365" spans="1:8" x14ac:dyDescent="0.35">
      <c r="A365" s="24" t="s">
        <v>913</v>
      </c>
      <c r="B365" s="24" t="s">
        <v>914</v>
      </c>
      <c r="C365" s="25" t="s">
        <v>872</v>
      </c>
      <c r="D365" s="25">
        <v>3</v>
      </c>
      <c r="E365" s="25">
        <v>300</v>
      </c>
      <c r="F365" s="25">
        <v>1864</v>
      </c>
      <c r="G365" s="25">
        <v>16094</v>
      </c>
      <c r="H365" s="25">
        <v>4.0999999999999996</v>
      </c>
    </row>
    <row r="366" spans="1:8" x14ac:dyDescent="0.35">
      <c r="A366" s="22" t="s">
        <v>1054</v>
      </c>
      <c r="B366" s="22" t="s">
        <v>1055</v>
      </c>
      <c r="C366" s="23" t="s">
        <v>872</v>
      </c>
      <c r="D366" s="23">
        <v>3</v>
      </c>
      <c r="E366" s="23">
        <v>330</v>
      </c>
      <c r="F366" s="23">
        <v>2050</v>
      </c>
      <c r="G366" s="23">
        <v>16098</v>
      </c>
      <c r="H366" s="23">
        <v>4.4000000000000004</v>
      </c>
    </row>
    <row r="367" spans="1:8" x14ac:dyDescent="0.35">
      <c r="A367" s="24" t="s">
        <v>947</v>
      </c>
      <c r="B367" s="24" t="s">
        <v>23</v>
      </c>
      <c r="C367" s="25" t="s">
        <v>872</v>
      </c>
      <c r="D367" s="25">
        <v>3</v>
      </c>
      <c r="E367" s="25">
        <v>270</v>
      </c>
      <c r="F367" s="25">
        <v>1665</v>
      </c>
      <c r="G367" s="25">
        <v>16216</v>
      </c>
      <c r="H367" s="25">
        <v>3.7</v>
      </c>
    </row>
    <row r="368" spans="1:8" x14ac:dyDescent="0.35">
      <c r="A368" s="22" t="s">
        <v>784</v>
      </c>
      <c r="B368" s="22" t="s">
        <v>1081</v>
      </c>
      <c r="C368" s="23" t="s">
        <v>872</v>
      </c>
      <c r="D368" s="23">
        <v>3</v>
      </c>
      <c r="E368" s="23">
        <v>250</v>
      </c>
      <c r="F368" s="23">
        <v>1533</v>
      </c>
      <c r="G368" s="23">
        <v>16308</v>
      </c>
      <c r="H368" s="23"/>
    </row>
    <row r="369" spans="1:8" x14ac:dyDescent="0.35">
      <c r="A369" s="24" t="s">
        <v>870</v>
      </c>
      <c r="B369" s="24" t="s">
        <v>871</v>
      </c>
      <c r="C369" s="25" t="s">
        <v>872</v>
      </c>
      <c r="D369" s="25">
        <v>3</v>
      </c>
      <c r="E369" s="25">
        <v>300</v>
      </c>
      <c r="F369" s="25">
        <v>1806</v>
      </c>
      <c r="G369" s="25">
        <v>16611</v>
      </c>
      <c r="H369" s="25">
        <v>4.2</v>
      </c>
    </row>
    <row r="370" spans="1:8" x14ac:dyDescent="0.35">
      <c r="A370" s="22" t="s">
        <v>1014</v>
      </c>
      <c r="B370" s="22" t="s">
        <v>1015</v>
      </c>
      <c r="C370" s="23" t="s">
        <v>872</v>
      </c>
      <c r="D370" s="23">
        <v>3</v>
      </c>
      <c r="E370" s="23">
        <v>260</v>
      </c>
      <c r="F370" s="23">
        <v>1564</v>
      </c>
      <c r="G370" s="23">
        <v>16624</v>
      </c>
      <c r="H370" s="23">
        <v>4.2</v>
      </c>
    </row>
    <row r="371" spans="1:8" x14ac:dyDescent="0.35">
      <c r="A371" s="24" t="s">
        <v>984</v>
      </c>
      <c r="B371" s="24" t="s">
        <v>985</v>
      </c>
      <c r="C371" s="25" t="s">
        <v>872</v>
      </c>
      <c r="D371" s="25">
        <v>3</v>
      </c>
      <c r="E371" s="25">
        <v>305</v>
      </c>
      <c r="F371" s="25">
        <v>1819</v>
      </c>
      <c r="G371" s="25">
        <v>16767</v>
      </c>
      <c r="H371" s="25">
        <v>3.7</v>
      </c>
    </row>
    <row r="372" spans="1:8" x14ac:dyDescent="0.35">
      <c r="A372" s="22" t="s">
        <v>630</v>
      </c>
      <c r="B372" s="22" t="s">
        <v>11</v>
      </c>
      <c r="C372" s="23" t="s">
        <v>872</v>
      </c>
      <c r="D372" s="23">
        <v>4</v>
      </c>
      <c r="E372" s="23">
        <v>370</v>
      </c>
      <c r="F372" s="23">
        <v>2200</v>
      </c>
      <c r="G372" s="23">
        <v>16818</v>
      </c>
      <c r="H372" s="23">
        <v>4.3</v>
      </c>
    </row>
    <row r="373" spans="1:8" x14ac:dyDescent="0.35">
      <c r="A373" s="24" t="s">
        <v>986</v>
      </c>
      <c r="B373" s="24" t="s">
        <v>987</v>
      </c>
      <c r="C373" s="25" t="s">
        <v>872</v>
      </c>
      <c r="D373" s="25">
        <v>3</v>
      </c>
      <c r="E373" s="25">
        <v>300</v>
      </c>
      <c r="F373" s="25">
        <v>1770</v>
      </c>
      <c r="G373" s="25">
        <v>16949</v>
      </c>
      <c r="H373" s="25"/>
    </row>
    <row r="374" spans="1:8" x14ac:dyDescent="0.35">
      <c r="A374" s="22" t="s">
        <v>1057</v>
      </c>
      <c r="B374" s="22" t="s">
        <v>11</v>
      </c>
      <c r="C374" s="23" t="s">
        <v>872</v>
      </c>
      <c r="D374" s="23">
        <v>4</v>
      </c>
      <c r="E374" s="23">
        <v>435</v>
      </c>
      <c r="F374" s="23">
        <v>2555</v>
      </c>
      <c r="G374" s="23">
        <v>17025</v>
      </c>
      <c r="H374" s="23">
        <v>3.9</v>
      </c>
    </row>
    <row r="375" spans="1:8" x14ac:dyDescent="0.35">
      <c r="A375" s="24" t="s">
        <v>870</v>
      </c>
      <c r="B375" s="24" t="s">
        <v>871</v>
      </c>
      <c r="C375" s="25" t="s">
        <v>872</v>
      </c>
      <c r="D375" s="25">
        <v>4</v>
      </c>
      <c r="E375" s="25">
        <v>380</v>
      </c>
      <c r="F375" s="25">
        <v>2232</v>
      </c>
      <c r="G375" s="25">
        <v>17025</v>
      </c>
      <c r="H375" s="25">
        <v>4.2</v>
      </c>
    </row>
    <row r="376" spans="1:8" x14ac:dyDescent="0.35">
      <c r="A376" s="22" t="s">
        <v>600</v>
      </c>
      <c r="B376" s="22" t="s">
        <v>1021</v>
      </c>
      <c r="C376" s="23" t="s">
        <v>872</v>
      </c>
      <c r="D376" s="23">
        <v>3</v>
      </c>
      <c r="E376" s="23">
        <v>350</v>
      </c>
      <c r="F376" s="23">
        <v>2000</v>
      </c>
      <c r="G376" s="23">
        <v>17500</v>
      </c>
      <c r="H376" s="23"/>
    </row>
    <row r="377" spans="1:8" x14ac:dyDescent="0.35">
      <c r="A377" s="24" t="s">
        <v>870</v>
      </c>
      <c r="B377" s="24" t="s">
        <v>871</v>
      </c>
      <c r="C377" s="25" t="s">
        <v>872</v>
      </c>
      <c r="D377" s="25">
        <v>3</v>
      </c>
      <c r="E377" s="25">
        <v>320</v>
      </c>
      <c r="F377" s="25">
        <v>1804</v>
      </c>
      <c r="G377" s="25">
        <v>17738</v>
      </c>
      <c r="H377" s="25">
        <v>4.2</v>
      </c>
    </row>
    <row r="378" spans="1:8" x14ac:dyDescent="0.35">
      <c r="A378" s="22" t="s">
        <v>935</v>
      </c>
      <c r="B378" s="22" t="s">
        <v>11</v>
      </c>
      <c r="C378" s="23" t="s">
        <v>872</v>
      </c>
      <c r="D378" s="23">
        <v>3</v>
      </c>
      <c r="E378" s="23">
        <v>407</v>
      </c>
      <c r="F378" s="23">
        <v>2292</v>
      </c>
      <c r="G378" s="23">
        <v>17757</v>
      </c>
      <c r="H378" s="23">
        <v>4.5</v>
      </c>
    </row>
    <row r="379" spans="1:8" x14ac:dyDescent="0.35">
      <c r="A379" s="24" t="s">
        <v>1057</v>
      </c>
      <c r="B379" s="24" t="s">
        <v>11</v>
      </c>
      <c r="C379" s="25" t="s">
        <v>872</v>
      </c>
      <c r="D379" s="25">
        <v>3</v>
      </c>
      <c r="E379" s="25">
        <v>365</v>
      </c>
      <c r="F379" s="25">
        <v>2027</v>
      </c>
      <c r="G379" s="25">
        <v>18007</v>
      </c>
      <c r="H379" s="25">
        <v>3.9</v>
      </c>
    </row>
    <row r="380" spans="1:8" x14ac:dyDescent="0.35">
      <c r="A380" s="22" t="s">
        <v>1057</v>
      </c>
      <c r="B380" s="22" t="s">
        <v>11</v>
      </c>
      <c r="C380" s="23" t="s">
        <v>872</v>
      </c>
      <c r="D380" s="23">
        <v>3</v>
      </c>
      <c r="E380" s="23">
        <v>320</v>
      </c>
      <c r="F380" s="23">
        <v>1775</v>
      </c>
      <c r="G380" s="23">
        <v>18028</v>
      </c>
      <c r="H380" s="23">
        <v>3.9</v>
      </c>
    </row>
    <row r="381" spans="1:8" x14ac:dyDescent="0.35">
      <c r="A381" s="24" t="s">
        <v>1068</v>
      </c>
      <c r="B381" s="24" t="s">
        <v>1069</v>
      </c>
      <c r="C381" s="25" t="s">
        <v>872</v>
      </c>
      <c r="D381" s="25">
        <v>2</v>
      </c>
      <c r="E381" s="25">
        <v>225</v>
      </c>
      <c r="F381" s="25">
        <v>1200</v>
      </c>
      <c r="G381" s="25">
        <v>18750</v>
      </c>
      <c r="H381" s="25">
        <v>4.2</v>
      </c>
    </row>
    <row r="382" spans="1:8" x14ac:dyDescent="0.35">
      <c r="A382" s="22" t="s">
        <v>988</v>
      </c>
      <c r="B382" s="22" t="s">
        <v>11</v>
      </c>
      <c r="C382" s="23" t="s">
        <v>872</v>
      </c>
      <c r="D382" s="23">
        <v>3</v>
      </c>
      <c r="E382" s="23">
        <v>375</v>
      </c>
      <c r="F382" s="23">
        <v>1933</v>
      </c>
      <c r="G382" s="23">
        <v>19400</v>
      </c>
      <c r="H382" s="23">
        <v>3.7</v>
      </c>
    </row>
    <row r="383" spans="1:8" x14ac:dyDescent="0.35">
      <c r="A383" s="24" t="s">
        <v>886</v>
      </c>
      <c r="B383" s="24" t="s">
        <v>883</v>
      </c>
      <c r="C383" s="25" t="s">
        <v>872</v>
      </c>
      <c r="D383" s="25">
        <v>2</v>
      </c>
      <c r="E383" s="25">
        <v>360</v>
      </c>
      <c r="F383" s="25">
        <v>1800</v>
      </c>
      <c r="G383" s="25">
        <v>20000</v>
      </c>
      <c r="H383" s="25">
        <v>3.7</v>
      </c>
    </row>
    <row r="384" spans="1:8" x14ac:dyDescent="0.35">
      <c r="A384" s="22" t="s">
        <v>938</v>
      </c>
      <c r="B384" s="22" t="s">
        <v>20</v>
      </c>
      <c r="C384" s="23" t="s">
        <v>872</v>
      </c>
      <c r="D384" s="23">
        <v>3</v>
      </c>
      <c r="E384" s="23">
        <v>360</v>
      </c>
      <c r="F384" s="23">
        <v>1800</v>
      </c>
      <c r="G384" s="23">
        <v>20000</v>
      </c>
      <c r="H384" s="23"/>
    </row>
    <row r="385" spans="1:8" x14ac:dyDescent="0.35">
      <c r="A385" s="24" t="s">
        <v>938</v>
      </c>
      <c r="B385" s="24" t="s">
        <v>20</v>
      </c>
      <c r="C385" s="25" t="s">
        <v>872</v>
      </c>
      <c r="D385" s="25">
        <v>3</v>
      </c>
      <c r="E385" s="25">
        <v>350</v>
      </c>
      <c r="F385" s="25">
        <v>1725</v>
      </c>
      <c r="G385" s="25">
        <v>20290</v>
      </c>
      <c r="H385" s="25"/>
    </row>
    <row r="386" spans="1:8" x14ac:dyDescent="0.35">
      <c r="A386" s="22" t="s">
        <v>938</v>
      </c>
      <c r="B386" s="22" t="s">
        <v>939</v>
      </c>
      <c r="C386" s="23" t="s">
        <v>872</v>
      </c>
      <c r="D386" s="23">
        <v>3</v>
      </c>
      <c r="E386" s="23">
        <v>450</v>
      </c>
      <c r="F386" s="23">
        <v>2200</v>
      </c>
      <c r="G386" s="23">
        <v>20455</v>
      </c>
      <c r="H386" s="23"/>
    </row>
    <row r="387" spans="1:8" x14ac:dyDescent="0.35">
      <c r="A387" s="24" t="s">
        <v>236</v>
      </c>
      <c r="B387" s="24" t="s">
        <v>926</v>
      </c>
      <c r="C387" s="25" t="s">
        <v>872</v>
      </c>
      <c r="D387" s="25">
        <v>3</v>
      </c>
      <c r="E387" s="25">
        <v>490</v>
      </c>
      <c r="F387" s="25">
        <v>2204</v>
      </c>
      <c r="G387" s="25">
        <v>22232</v>
      </c>
      <c r="H387" s="25"/>
    </row>
    <row r="388" spans="1:8" ht="23" x14ac:dyDescent="0.35">
      <c r="A388" s="22" t="s">
        <v>440</v>
      </c>
      <c r="B388" s="22" t="s">
        <v>976</v>
      </c>
      <c r="C388" s="23" t="s">
        <v>875</v>
      </c>
      <c r="D388" s="23">
        <v>5</v>
      </c>
      <c r="E388" s="23">
        <v>300</v>
      </c>
      <c r="F388" s="23">
        <v>1200</v>
      </c>
      <c r="G388" s="23">
        <v>25000</v>
      </c>
      <c r="H388" s="23"/>
    </row>
    <row r="389" spans="1:8" x14ac:dyDescent="0.35">
      <c r="A389" s="24" t="s">
        <v>958</v>
      </c>
      <c r="B389" s="24" t="s">
        <v>22</v>
      </c>
      <c r="C389" s="25" t="s">
        <v>875</v>
      </c>
      <c r="D389" s="25">
        <v>5</v>
      </c>
      <c r="E389" s="25">
        <v>335</v>
      </c>
      <c r="F389" s="25">
        <v>1200</v>
      </c>
      <c r="G389" s="25">
        <v>27917</v>
      </c>
      <c r="H389" s="25"/>
    </row>
    <row r="390" spans="1:8" ht="23" x14ac:dyDescent="0.35">
      <c r="A390" s="22" t="s">
        <v>911</v>
      </c>
      <c r="B390" s="22" t="s">
        <v>22</v>
      </c>
      <c r="C390" s="23" t="s">
        <v>875</v>
      </c>
      <c r="D390" s="23">
        <v>5</v>
      </c>
      <c r="E390" s="23">
        <v>345</v>
      </c>
      <c r="F390" s="23">
        <v>1200</v>
      </c>
      <c r="G390" s="23">
        <v>28750</v>
      </c>
      <c r="H390" s="23"/>
    </row>
    <row r="391" spans="1:8" ht="23" x14ac:dyDescent="0.35">
      <c r="A391" s="24" t="s">
        <v>49</v>
      </c>
      <c r="B391" s="24" t="s">
        <v>874</v>
      </c>
      <c r="C391" s="25" t="s">
        <v>875</v>
      </c>
      <c r="D391" s="25">
        <v>4</v>
      </c>
      <c r="E391" s="25">
        <v>445</v>
      </c>
      <c r="F391" s="25">
        <v>1500</v>
      </c>
      <c r="G391" s="25">
        <v>29667</v>
      </c>
      <c r="H391" s="25"/>
    </row>
    <row r="392" spans="1:8" x14ac:dyDescent="0.35">
      <c r="A392" s="22" t="s">
        <v>1078</v>
      </c>
      <c r="B392" s="22" t="s">
        <v>1079</v>
      </c>
      <c r="C392" s="23" t="s">
        <v>875</v>
      </c>
      <c r="D392" s="23">
        <v>3</v>
      </c>
      <c r="E392" s="23">
        <v>360</v>
      </c>
      <c r="F392" s="23">
        <v>1200</v>
      </c>
      <c r="G392" s="23">
        <v>30000</v>
      </c>
      <c r="H392" s="23"/>
    </row>
    <row r="393" spans="1:8" x14ac:dyDescent="0.35">
      <c r="A393" s="24" t="s">
        <v>1064</v>
      </c>
      <c r="B393" s="24" t="s">
        <v>1065</v>
      </c>
      <c r="C393" s="25" t="s">
        <v>875</v>
      </c>
      <c r="D393" s="25">
        <v>4</v>
      </c>
      <c r="E393" s="25">
        <v>224</v>
      </c>
      <c r="F393" s="25">
        <v>700</v>
      </c>
      <c r="G393" s="25">
        <v>32000</v>
      </c>
      <c r="H393" s="25"/>
    </row>
    <row r="394" spans="1:8" ht="23" x14ac:dyDescent="0.35">
      <c r="A394" s="22" t="s">
        <v>49</v>
      </c>
      <c r="B394" s="22" t="s">
        <v>874</v>
      </c>
      <c r="C394" s="23" t="s">
        <v>875</v>
      </c>
      <c r="D394" s="23">
        <v>4</v>
      </c>
      <c r="E394" s="23">
        <v>490</v>
      </c>
      <c r="F394" s="23">
        <v>1500</v>
      </c>
      <c r="G394" s="23">
        <v>32667</v>
      </c>
      <c r="H394" s="23"/>
    </row>
  </sheetData>
  <autoFilter ref="A5:H395" xr:uid="{00000000-0009-0000-0000-000006000000}">
    <sortState xmlns:xlrd2="http://schemas.microsoft.com/office/spreadsheetml/2017/richdata2" ref="A6:H395">
      <sortCondition ref="G5:G395"/>
    </sortState>
  </autoFilter>
  <mergeCells count="2">
    <mergeCell ref="A1:F2"/>
    <mergeCell ref="A3:F3"/>
  </mergeCells>
  <conditionalFormatting sqref="G6:G39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"/>
  <sheetViews>
    <sheetView showGridLines="0" zoomScaleNormal="100" workbookViewId="0">
      <selection activeCell="E4" sqref="E4:E8"/>
    </sheetView>
  </sheetViews>
  <sheetFormatPr defaultColWidth="8.6328125" defaultRowHeight="14.5" x14ac:dyDescent="0.35"/>
  <cols>
    <col min="1" max="1" width="14" customWidth="1"/>
    <col min="2" max="6" width="16" customWidth="1"/>
    <col min="7" max="7" width="18" customWidth="1"/>
  </cols>
  <sheetData>
    <row r="1" spans="1:7" ht="30" customHeight="1" x14ac:dyDescent="0.35">
      <c r="A1" s="41" t="s">
        <v>1140</v>
      </c>
      <c r="B1" s="41"/>
      <c r="C1" s="41"/>
      <c r="D1" s="41"/>
      <c r="E1" s="41"/>
      <c r="F1" s="41"/>
      <c r="G1" s="41"/>
    </row>
    <row r="2" spans="1:7" x14ac:dyDescent="0.35">
      <c r="A2" s="41"/>
      <c r="B2" s="41"/>
      <c r="C2" s="41"/>
      <c r="D2" s="41"/>
      <c r="E2" s="41"/>
      <c r="F2" s="41"/>
      <c r="G2" s="41"/>
    </row>
    <row r="3" spans="1:7" ht="28" x14ac:dyDescent="0.35">
      <c r="A3" s="16" t="s">
        <v>1141</v>
      </c>
      <c r="B3" s="16" t="s">
        <v>1142</v>
      </c>
      <c r="C3" s="27" t="s">
        <v>1147</v>
      </c>
      <c r="D3" s="16" t="s">
        <v>1137</v>
      </c>
      <c r="E3" s="16" t="s">
        <v>1149</v>
      </c>
      <c r="F3" s="16" t="s">
        <v>1148</v>
      </c>
      <c r="G3" s="16" t="s">
        <v>1138</v>
      </c>
    </row>
    <row r="4" spans="1:7" x14ac:dyDescent="0.35">
      <c r="A4" s="14" t="s">
        <v>19</v>
      </c>
      <c r="B4" s="14">
        <v>17</v>
      </c>
      <c r="C4" s="14">
        <v>61.8</v>
      </c>
      <c r="D4" s="14">
        <v>682.6</v>
      </c>
      <c r="E4" s="28">
        <f xml:space="preserve"> C4 / D4</f>
        <v>9.0536185174333428E-2</v>
      </c>
      <c r="F4" s="29">
        <f xml:space="preserve"> C4 / D4</f>
        <v>9.0536185174333428E-2</v>
      </c>
      <c r="G4" s="14">
        <v>9324.5</v>
      </c>
    </row>
    <row r="5" spans="1:7" x14ac:dyDescent="0.35">
      <c r="A5" s="15" t="s">
        <v>21</v>
      </c>
      <c r="B5" s="15">
        <v>155</v>
      </c>
      <c r="C5" s="15">
        <v>92.5</v>
      </c>
      <c r="D5" s="15">
        <v>1105.5</v>
      </c>
      <c r="E5" s="28">
        <f t="shared" ref="E5:E8" si="0" xml:space="preserve"> C5 / D5</f>
        <v>8.3672546359113517E-2</v>
      </c>
      <c r="F5" s="29">
        <f t="shared" ref="F5:F8" si="1" xml:space="preserve"> C5 / D5</f>
        <v>8.3672546359113517E-2</v>
      </c>
      <c r="G5" s="15">
        <v>8246.5</v>
      </c>
    </row>
    <row r="6" spans="1:7" x14ac:dyDescent="0.35">
      <c r="A6" s="14" t="s">
        <v>10</v>
      </c>
      <c r="B6" s="14">
        <v>198</v>
      </c>
      <c r="C6" s="14">
        <v>166.3</v>
      </c>
      <c r="D6" s="14">
        <v>1598.1</v>
      </c>
      <c r="E6" s="28">
        <f t="shared" si="0"/>
        <v>0.10406107252362182</v>
      </c>
      <c r="F6" s="29">
        <f t="shared" si="1"/>
        <v>0.10406107252362182</v>
      </c>
      <c r="G6" s="14">
        <v>9991</v>
      </c>
    </row>
    <row r="7" spans="1:7" x14ac:dyDescent="0.35">
      <c r="A7" s="15" t="s">
        <v>24</v>
      </c>
      <c r="B7" s="15">
        <v>14</v>
      </c>
      <c r="C7" s="15">
        <v>332.6</v>
      </c>
      <c r="D7" s="15">
        <v>2031.4</v>
      </c>
      <c r="E7" s="28">
        <f t="shared" si="0"/>
        <v>0.16372944767155656</v>
      </c>
      <c r="F7" s="29">
        <f t="shared" si="1"/>
        <v>0.16372944767155656</v>
      </c>
      <c r="G7" s="15">
        <v>17973.599999999999</v>
      </c>
    </row>
    <row r="8" spans="1:7" x14ac:dyDescent="0.35">
      <c r="A8" s="14" t="s">
        <v>26</v>
      </c>
      <c r="B8" s="14">
        <v>5</v>
      </c>
      <c r="C8" s="14">
        <v>312</v>
      </c>
      <c r="D8" s="14">
        <v>1831.6</v>
      </c>
      <c r="E8" s="28">
        <f t="shared" si="0"/>
        <v>0.17034286962218825</v>
      </c>
      <c r="F8" s="29">
        <f t="shared" si="1"/>
        <v>0.17034286962218825</v>
      </c>
      <c r="G8" s="14">
        <v>20508.8</v>
      </c>
    </row>
  </sheetData>
  <mergeCells count="1">
    <mergeCell ref="A1:G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0"/>
  <sheetViews>
    <sheetView showGridLines="0" zoomScaleNormal="100" workbookViewId="0">
      <selection activeCell="I10" sqref="I10"/>
    </sheetView>
  </sheetViews>
  <sheetFormatPr defaultColWidth="8.6328125" defaultRowHeight="14.5" x14ac:dyDescent="0.35"/>
  <cols>
    <col min="1" max="1" width="20" customWidth="1"/>
    <col min="2" max="2" width="10" customWidth="1"/>
    <col min="3" max="6" width="16" customWidth="1"/>
    <col min="7" max="7" width="20" customWidth="1"/>
  </cols>
  <sheetData>
    <row r="1" spans="1:7" ht="30" customHeight="1" x14ac:dyDescent="0.35">
      <c r="A1" s="41" t="s">
        <v>1134</v>
      </c>
      <c r="B1" s="41"/>
      <c r="C1" s="41"/>
      <c r="D1" s="41"/>
      <c r="E1" s="41"/>
      <c r="F1" s="41"/>
      <c r="G1" s="41"/>
    </row>
    <row r="2" spans="1:7" x14ac:dyDescent="0.35">
      <c r="A2" s="41"/>
      <c r="B2" s="41"/>
      <c r="C2" s="41"/>
      <c r="D2" s="41"/>
      <c r="E2" s="41"/>
      <c r="F2" s="41"/>
      <c r="G2" s="41"/>
    </row>
    <row r="3" spans="1:7" x14ac:dyDescent="0.35">
      <c r="A3" s="19" t="s">
        <v>17</v>
      </c>
      <c r="B3" s="19" t="s">
        <v>15</v>
      </c>
      <c r="C3" s="19" t="s">
        <v>16</v>
      </c>
      <c r="D3" s="19" t="s">
        <v>1135</v>
      </c>
      <c r="E3" s="19" t="s">
        <v>1136</v>
      </c>
      <c r="F3" s="19" t="s">
        <v>1137</v>
      </c>
      <c r="G3" s="19" t="s">
        <v>1138</v>
      </c>
    </row>
    <row r="4" spans="1:7" x14ac:dyDescent="0.35">
      <c r="A4" s="17" t="s">
        <v>20</v>
      </c>
      <c r="B4" s="14">
        <v>3</v>
      </c>
      <c r="C4" s="14">
        <v>346.7</v>
      </c>
      <c r="D4" s="14">
        <v>330</v>
      </c>
      <c r="E4" s="14">
        <v>360</v>
      </c>
      <c r="F4" s="14">
        <v>1908.3</v>
      </c>
      <c r="G4" s="14">
        <v>18430</v>
      </c>
    </row>
    <row r="5" spans="1:7" x14ac:dyDescent="0.35">
      <c r="A5" s="18" t="s">
        <v>22</v>
      </c>
      <c r="B5" s="15">
        <v>5</v>
      </c>
      <c r="C5" s="15">
        <v>204.4</v>
      </c>
      <c r="D5" s="15">
        <v>80</v>
      </c>
      <c r="E5" s="15">
        <v>345</v>
      </c>
      <c r="F5" s="15">
        <v>1320</v>
      </c>
      <c r="G5" s="15">
        <v>16337</v>
      </c>
    </row>
    <row r="6" spans="1:7" x14ac:dyDescent="0.35">
      <c r="A6" s="17" t="s">
        <v>23</v>
      </c>
      <c r="B6" s="14">
        <v>7</v>
      </c>
      <c r="C6" s="14">
        <v>226.9</v>
      </c>
      <c r="D6" s="14">
        <v>83</v>
      </c>
      <c r="E6" s="14">
        <v>310</v>
      </c>
      <c r="F6" s="14">
        <v>1534.4</v>
      </c>
      <c r="G6" s="14">
        <v>14520.7</v>
      </c>
    </row>
    <row r="7" spans="1:7" x14ac:dyDescent="0.35">
      <c r="A7" s="18" t="s">
        <v>25</v>
      </c>
      <c r="B7" s="15">
        <v>4</v>
      </c>
      <c r="C7" s="15">
        <v>217.5</v>
      </c>
      <c r="D7" s="15">
        <v>170</v>
      </c>
      <c r="E7" s="15">
        <v>278</v>
      </c>
      <c r="F7" s="15">
        <v>1505</v>
      </c>
      <c r="G7" s="15">
        <v>14492.8</v>
      </c>
    </row>
    <row r="8" spans="1:7" x14ac:dyDescent="0.35">
      <c r="A8" s="17" t="s">
        <v>11</v>
      </c>
      <c r="B8" s="14">
        <v>16</v>
      </c>
      <c r="C8" s="14">
        <v>267.89999999999998</v>
      </c>
      <c r="D8" s="14">
        <v>77</v>
      </c>
      <c r="E8" s="14">
        <v>435</v>
      </c>
      <c r="F8" s="14">
        <v>1782.5</v>
      </c>
      <c r="G8" s="14">
        <v>14408.3</v>
      </c>
    </row>
    <row r="9" spans="1:7" x14ac:dyDescent="0.35">
      <c r="A9" s="18" t="s">
        <v>876</v>
      </c>
      <c r="B9" s="15">
        <v>6</v>
      </c>
      <c r="C9" s="15">
        <v>181</v>
      </c>
      <c r="D9" s="15">
        <v>152</v>
      </c>
      <c r="E9" s="15">
        <v>220</v>
      </c>
      <c r="F9" s="15">
        <v>1498.3</v>
      </c>
      <c r="G9" s="15">
        <v>12522.7</v>
      </c>
    </row>
    <row r="10" spans="1:7" x14ac:dyDescent="0.35">
      <c r="A10" s="17" t="s">
        <v>972</v>
      </c>
      <c r="B10" s="14">
        <v>4</v>
      </c>
      <c r="C10" s="14">
        <v>137.19999999999999</v>
      </c>
      <c r="D10" s="14">
        <v>85</v>
      </c>
      <c r="E10" s="14">
        <v>213</v>
      </c>
      <c r="F10" s="14">
        <v>1110</v>
      </c>
      <c r="G10" s="14">
        <v>12519</v>
      </c>
    </row>
    <row r="11" spans="1:7" x14ac:dyDescent="0.35">
      <c r="A11" s="18" t="s">
        <v>976</v>
      </c>
      <c r="B11" s="15">
        <v>3</v>
      </c>
      <c r="C11" s="15">
        <v>151</v>
      </c>
      <c r="D11" s="15">
        <v>66</v>
      </c>
      <c r="E11" s="15">
        <v>300</v>
      </c>
      <c r="F11" s="15">
        <v>1250</v>
      </c>
      <c r="G11" s="15">
        <v>12333.3</v>
      </c>
    </row>
    <row r="12" spans="1:7" x14ac:dyDescent="0.35">
      <c r="A12" s="17" t="s">
        <v>970</v>
      </c>
      <c r="B12" s="14">
        <v>5</v>
      </c>
      <c r="C12" s="14">
        <v>183.6</v>
      </c>
      <c r="D12" s="14">
        <v>78</v>
      </c>
      <c r="E12" s="14">
        <v>275</v>
      </c>
      <c r="F12" s="14">
        <v>1479.6</v>
      </c>
      <c r="G12" s="14">
        <v>12207</v>
      </c>
    </row>
    <row r="13" spans="1:7" x14ac:dyDescent="0.35">
      <c r="A13" s="18" t="s">
        <v>883</v>
      </c>
      <c r="B13" s="15">
        <v>6</v>
      </c>
      <c r="C13" s="15">
        <v>189.2</v>
      </c>
      <c r="D13" s="15">
        <v>109</v>
      </c>
      <c r="E13" s="15">
        <v>360</v>
      </c>
      <c r="F13" s="15">
        <v>1566.2</v>
      </c>
      <c r="G13" s="15">
        <v>11603.3</v>
      </c>
    </row>
    <row r="14" spans="1:7" x14ac:dyDescent="0.35">
      <c r="A14" s="17" t="s">
        <v>1047</v>
      </c>
      <c r="B14" s="14">
        <v>3</v>
      </c>
      <c r="C14" s="14">
        <v>194</v>
      </c>
      <c r="D14" s="14">
        <v>120</v>
      </c>
      <c r="E14" s="14">
        <v>275</v>
      </c>
      <c r="F14" s="14">
        <v>1666.7</v>
      </c>
      <c r="G14" s="14">
        <v>11469.7</v>
      </c>
    </row>
    <row r="15" spans="1:7" ht="25" x14ac:dyDescent="0.35">
      <c r="A15" s="18" t="s">
        <v>912</v>
      </c>
      <c r="B15" s="15">
        <v>8</v>
      </c>
      <c r="C15" s="15">
        <v>120.8</v>
      </c>
      <c r="D15" s="15">
        <v>60</v>
      </c>
      <c r="E15" s="15">
        <v>180</v>
      </c>
      <c r="F15" s="15">
        <v>1088.0999999999999</v>
      </c>
      <c r="G15" s="15">
        <v>11290.1</v>
      </c>
    </row>
    <row r="16" spans="1:7" x14ac:dyDescent="0.35">
      <c r="A16" s="17" t="s">
        <v>1053</v>
      </c>
      <c r="B16" s="14">
        <v>3</v>
      </c>
      <c r="C16" s="14">
        <v>190</v>
      </c>
      <c r="D16" s="14">
        <v>150</v>
      </c>
      <c r="E16" s="14">
        <v>220</v>
      </c>
      <c r="F16" s="14">
        <v>1728.3</v>
      </c>
      <c r="G16" s="14">
        <v>11024.7</v>
      </c>
    </row>
    <row r="17" spans="1:7" x14ac:dyDescent="0.35">
      <c r="A17" s="18" t="s">
        <v>918</v>
      </c>
      <c r="B17" s="15">
        <v>3</v>
      </c>
      <c r="C17" s="15">
        <v>291.7</v>
      </c>
      <c r="D17" s="15">
        <v>250</v>
      </c>
      <c r="E17" s="15">
        <v>315</v>
      </c>
      <c r="F17" s="15">
        <v>2700</v>
      </c>
      <c r="G17" s="15">
        <v>10853</v>
      </c>
    </row>
    <row r="18" spans="1:7" x14ac:dyDescent="0.35">
      <c r="A18" s="17" t="s">
        <v>895</v>
      </c>
      <c r="B18" s="14">
        <v>6</v>
      </c>
      <c r="C18" s="14">
        <v>134.30000000000001</v>
      </c>
      <c r="D18" s="14">
        <v>49</v>
      </c>
      <c r="E18" s="14">
        <v>250</v>
      </c>
      <c r="F18" s="14">
        <v>1254.8</v>
      </c>
      <c r="G18" s="14">
        <v>10695.3</v>
      </c>
    </row>
    <row r="19" spans="1:7" x14ac:dyDescent="0.35">
      <c r="A19" s="18" t="s">
        <v>888</v>
      </c>
      <c r="B19" s="15">
        <v>3</v>
      </c>
      <c r="C19" s="15">
        <v>133</v>
      </c>
      <c r="D19" s="15">
        <v>119</v>
      </c>
      <c r="E19" s="15">
        <v>155</v>
      </c>
      <c r="F19" s="15">
        <v>1259.3</v>
      </c>
      <c r="G19" s="15">
        <v>10538</v>
      </c>
    </row>
    <row r="20" spans="1:7" x14ac:dyDescent="0.35">
      <c r="A20" s="17" t="s">
        <v>920</v>
      </c>
      <c r="B20" s="14">
        <v>9</v>
      </c>
      <c r="C20" s="14">
        <v>154.4</v>
      </c>
      <c r="D20" s="14">
        <v>97</v>
      </c>
      <c r="E20" s="14">
        <v>280</v>
      </c>
      <c r="F20" s="14">
        <v>1517.3</v>
      </c>
      <c r="G20" s="14">
        <v>10409.700000000001</v>
      </c>
    </row>
    <row r="21" spans="1:7" x14ac:dyDescent="0.35">
      <c r="A21" s="18" t="s">
        <v>901</v>
      </c>
      <c r="B21" s="15">
        <v>11</v>
      </c>
      <c r="C21" s="15">
        <v>127.5</v>
      </c>
      <c r="D21" s="15">
        <v>65</v>
      </c>
      <c r="E21" s="15">
        <v>172</v>
      </c>
      <c r="F21" s="15">
        <v>1236.3</v>
      </c>
      <c r="G21" s="15">
        <v>10235.299999999999</v>
      </c>
    </row>
    <row r="22" spans="1:7" x14ac:dyDescent="0.35">
      <c r="A22" s="17" t="s">
        <v>871</v>
      </c>
      <c r="B22" s="14">
        <v>26</v>
      </c>
      <c r="C22" s="14">
        <v>152.5</v>
      </c>
      <c r="D22" s="14">
        <v>70</v>
      </c>
      <c r="E22" s="14">
        <v>380</v>
      </c>
      <c r="F22" s="14">
        <v>1418.2</v>
      </c>
      <c r="G22" s="14">
        <v>10229.700000000001</v>
      </c>
    </row>
    <row r="23" spans="1:7" x14ac:dyDescent="0.35">
      <c r="A23" s="18" t="s">
        <v>910</v>
      </c>
      <c r="B23" s="15">
        <v>8</v>
      </c>
      <c r="C23" s="15">
        <v>106.6</v>
      </c>
      <c r="D23" s="15">
        <v>53</v>
      </c>
      <c r="E23" s="15">
        <v>139</v>
      </c>
      <c r="F23" s="15">
        <v>1094.9000000000001</v>
      </c>
      <c r="G23" s="15">
        <v>9693.4</v>
      </c>
    </row>
    <row r="24" spans="1:7" x14ac:dyDescent="0.35">
      <c r="A24" s="17" t="s">
        <v>963</v>
      </c>
      <c r="B24" s="14">
        <v>3</v>
      </c>
      <c r="C24" s="14">
        <v>96.7</v>
      </c>
      <c r="D24" s="14">
        <v>60</v>
      </c>
      <c r="E24" s="14">
        <v>140</v>
      </c>
      <c r="F24" s="14">
        <v>1122</v>
      </c>
      <c r="G24" s="14">
        <v>8647</v>
      </c>
    </row>
    <row r="25" spans="1:7" x14ac:dyDescent="0.35">
      <c r="A25" s="18" t="s">
        <v>885</v>
      </c>
      <c r="B25" s="15">
        <v>16</v>
      </c>
      <c r="C25" s="15">
        <v>114.3</v>
      </c>
      <c r="D25" s="15">
        <v>75.2</v>
      </c>
      <c r="E25" s="15">
        <v>230</v>
      </c>
      <c r="F25" s="15">
        <v>1327.6</v>
      </c>
      <c r="G25" s="15">
        <v>8529.2000000000007</v>
      </c>
    </row>
    <row r="26" spans="1:7" x14ac:dyDescent="0.35">
      <c r="A26" s="17" t="s">
        <v>902</v>
      </c>
      <c r="B26" s="14">
        <v>5</v>
      </c>
      <c r="C26" s="14">
        <v>116.6</v>
      </c>
      <c r="D26" s="14">
        <v>92</v>
      </c>
      <c r="E26" s="14">
        <v>135</v>
      </c>
      <c r="F26" s="14">
        <v>1446.8</v>
      </c>
      <c r="G26" s="14">
        <v>8224</v>
      </c>
    </row>
    <row r="27" spans="1:7" x14ac:dyDescent="0.35">
      <c r="A27" s="18" t="s">
        <v>962</v>
      </c>
      <c r="B27" s="15">
        <v>3</v>
      </c>
      <c r="C27" s="15">
        <v>111</v>
      </c>
      <c r="D27" s="15">
        <v>60</v>
      </c>
      <c r="E27" s="15">
        <v>195</v>
      </c>
      <c r="F27" s="15">
        <v>1310.3</v>
      </c>
      <c r="G27" s="15">
        <v>7986.7</v>
      </c>
    </row>
    <row r="28" spans="1:7" x14ac:dyDescent="0.35">
      <c r="A28" s="17" t="s">
        <v>975</v>
      </c>
      <c r="B28" s="14">
        <v>4</v>
      </c>
      <c r="C28" s="14">
        <v>119</v>
      </c>
      <c r="D28" s="14">
        <v>64</v>
      </c>
      <c r="E28" s="14">
        <v>180</v>
      </c>
      <c r="F28" s="14">
        <v>1509.8</v>
      </c>
      <c r="G28" s="14">
        <v>7882.5</v>
      </c>
    </row>
    <row r="29" spans="1:7" ht="25" x14ac:dyDescent="0.35">
      <c r="A29" s="18" t="s">
        <v>882</v>
      </c>
      <c r="B29" s="15">
        <v>7</v>
      </c>
      <c r="C29" s="15">
        <v>106.6</v>
      </c>
      <c r="D29" s="15">
        <v>55</v>
      </c>
      <c r="E29" s="15">
        <v>163</v>
      </c>
      <c r="F29" s="15">
        <v>1367.7</v>
      </c>
      <c r="G29" s="15">
        <v>7836.7</v>
      </c>
    </row>
    <row r="30" spans="1:7" x14ac:dyDescent="0.35">
      <c r="A30" s="17" t="s">
        <v>1013</v>
      </c>
      <c r="B30" s="14">
        <v>3</v>
      </c>
      <c r="C30" s="14">
        <v>89</v>
      </c>
      <c r="D30" s="14">
        <v>75</v>
      </c>
      <c r="E30" s="14">
        <v>106</v>
      </c>
      <c r="F30" s="14">
        <v>1142.3</v>
      </c>
      <c r="G30" s="14">
        <v>7800.7</v>
      </c>
    </row>
    <row r="31" spans="1:7" x14ac:dyDescent="0.35">
      <c r="A31" s="18" t="s">
        <v>979</v>
      </c>
      <c r="B31" s="15">
        <v>10</v>
      </c>
      <c r="C31" s="15">
        <v>66.900000000000006</v>
      </c>
      <c r="D31" s="15">
        <v>54</v>
      </c>
      <c r="E31" s="15">
        <v>75.2</v>
      </c>
      <c r="F31" s="15">
        <v>895.5</v>
      </c>
      <c r="G31" s="15">
        <v>7513.2</v>
      </c>
    </row>
    <row r="32" spans="1:7" x14ac:dyDescent="0.35">
      <c r="A32" s="17" t="s">
        <v>952</v>
      </c>
      <c r="B32" s="14">
        <v>7</v>
      </c>
      <c r="C32" s="14">
        <v>95.9</v>
      </c>
      <c r="D32" s="14">
        <v>87</v>
      </c>
      <c r="E32" s="14">
        <v>111</v>
      </c>
      <c r="F32" s="14">
        <v>1293.7</v>
      </c>
      <c r="G32" s="14">
        <v>7426.4</v>
      </c>
    </row>
    <row r="33" spans="1:7" x14ac:dyDescent="0.35">
      <c r="A33" s="18" t="s">
        <v>907</v>
      </c>
      <c r="B33" s="15">
        <v>6</v>
      </c>
      <c r="C33" s="15">
        <v>83</v>
      </c>
      <c r="D33" s="15">
        <v>35</v>
      </c>
      <c r="E33" s="15">
        <v>115</v>
      </c>
      <c r="F33" s="15">
        <v>1110.7</v>
      </c>
      <c r="G33" s="15">
        <v>7382.2</v>
      </c>
    </row>
    <row r="34" spans="1:7" x14ac:dyDescent="0.35">
      <c r="A34" s="17" t="s">
        <v>934</v>
      </c>
      <c r="B34" s="14">
        <v>5</v>
      </c>
      <c r="C34" s="14">
        <v>83</v>
      </c>
      <c r="D34" s="14">
        <v>56</v>
      </c>
      <c r="E34" s="14">
        <v>105</v>
      </c>
      <c r="F34" s="14">
        <v>1138</v>
      </c>
      <c r="G34" s="14">
        <v>7312.8</v>
      </c>
    </row>
    <row r="35" spans="1:7" x14ac:dyDescent="0.35">
      <c r="A35" s="18" t="s">
        <v>954</v>
      </c>
      <c r="B35" s="15">
        <v>3</v>
      </c>
      <c r="C35" s="15">
        <v>84.8</v>
      </c>
      <c r="D35" s="15">
        <v>72</v>
      </c>
      <c r="E35" s="15">
        <v>98</v>
      </c>
      <c r="F35" s="15">
        <v>1171.7</v>
      </c>
      <c r="G35" s="15">
        <v>7235.7</v>
      </c>
    </row>
    <row r="36" spans="1:7" x14ac:dyDescent="0.35">
      <c r="A36" s="17" t="s">
        <v>884</v>
      </c>
      <c r="B36" s="14">
        <v>9</v>
      </c>
      <c r="C36" s="14">
        <v>91.3</v>
      </c>
      <c r="D36" s="14">
        <v>72</v>
      </c>
      <c r="E36" s="14">
        <v>107</v>
      </c>
      <c r="F36" s="14">
        <v>1268</v>
      </c>
      <c r="G36" s="14">
        <v>7219.2</v>
      </c>
    </row>
    <row r="37" spans="1:7" x14ac:dyDescent="0.35">
      <c r="A37" s="18" t="s">
        <v>946</v>
      </c>
      <c r="B37" s="15">
        <v>5</v>
      </c>
      <c r="C37" s="15">
        <v>85.2</v>
      </c>
      <c r="D37" s="15">
        <v>84</v>
      </c>
      <c r="E37" s="15">
        <v>86</v>
      </c>
      <c r="F37" s="15">
        <v>1250</v>
      </c>
      <c r="G37" s="15">
        <v>6816</v>
      </c>
    </row>
    <row r="38" spans="1:7" x14ac:dyDescent="0.35">
      <c r="A38" s="17" t="s">
        <v>914</v>
      </c>
      <c r="B38" s="14">
        <v>24</v>
      </c>
      <c r="C38" s="14">
        <v>63.2</v>
      </c>
      <c r="D38" s="14">
        <v>46</v>
      </c>
      <c r="E38" s="14">
        <v>300</v>
      </c>
      <c r="F38" s="14">
        <v>1043.9000000000001</v>
      </c>
      <c r="G38" s="14">
        <v>5709.2</v>
      </c>
    </row>
    <row r="39" spans="1:7" ht="25" x14ac:dyDescent="0.35">
      <c r="A39" s="18" t="s">
        <v>878</v>
      </c>
      <c r="B39" s="15">
        <v>3</v>
      </c>
      <c r="C39" s="15">
        <v>75</v>
      </c>
      <c r="D39" s="15">
        <v>66</v>
      </c>
      <c r="E39" s="15">
        <v>83</v>
      </c>
      <c r="F39" s="15">
        <v>1372</v>
      </c>
      <c r="G39" s="15">
        <v>5469.7</v>
      </c>
    </row>
    <row r="40" spans="1:7" x14ac:dyDescent="0.35">
      <c r="A40" s="17" t="s">
        <v>917</v>
      </c>
      <c r="B40" s="14">
        <v>5</v>
      </c>
      <c r="C40" s="14">
        <v>54.8</v>
      </c>
      <c r="D40" s="14">
        <v>54</v>
      </c>
      <c r="E40" s="14">
        <v>55</v>
      </c>
      <c r="F40" s="14">
        <v>1002.2</v>
      </c>
      <c r="G40" s="14">
        <v>5468.2</v>
      </c>
    </row>
    <row r="41" spans="1:7" x14ac:dyDescent="0.35">
      <c r="A41" s="18" t="s">
        <v>898</v>
      </c>
      <c r="B41" s="15">
        <v>7</v>
      </c>
      <c r="C41" s="15">
        <v>62.7</v>
      </c>
      <c r="D41" s="15">
        <v>49</v>
      </c>
      <c r="E41" s="15">
        <v>115</v>
      </c>
      <c r="F41" s="15">
        <v>1132.3</v>
      </c>
      <c r="G41" s="15">
        <v>5430.9</v>
      </c>
    </row>
    <row r="42" spans="1:7" x14ac:dyDescent="0.35">
      <c r="A42" s="17" t="s">
        <v>990</v>
      </c>
      <c r="B42" s="14">
        <v>5</v>
      </c>
      <c r="C42" s="14">
        <v>55.9</v>
      </c>
      <c r="D42" s="14">
        <v>31</v>
      </c>
      <c r="E42" s="14">
        <v>98</v>
      </c>
      <c r="F42" s="14">
        <v>1097.8</v>
      </c>
      <c r="G42" s="14">
        <v>5168.8</v>
      </c>
    </row>
    <row r="43" spans="1:7" x14ac:dyDescent="0.35">
      <c r="A43" s="18" t="s">
        <v>993</v>
      </c>
      <c r="B43" s="15">
        <v>4</v>
      </c>
      <c r="C43" s="15">
        <v>56.7</v>
      </c>
      <c r="D43" s="15">
        <v>48.5</v>
      </c>
      <c r="E43" s="15">
        <v>71</v>
      </c>
      <c r="F43" s="15">
        <v>1241.2</v>
      </c>
      <c r="G43" s="15">
        <v>4607.8</v>
      </c>
    </row>
    <row r="44" spans="1:7" x14ac:dyDescent="0.35">
      <c r="A44" s="17" t="s">
        <v>956</v>
      </c>
      <c r="B44" s="14">
        <v>3</v>
      </c>
      <c r="C44" s="14">
        <v>51.5</v>
      </c>
      <c r="D44" s="14">
        <v>46.9</v>
      </c>
      <c r="E44" s="14">
        <v>60</v>
      </c>
      <c r="F44" s="14">
        <v>1153</v>
      </c>
      <c r="G44" s="14">
        <v>4487.7</v>
      </c>
    </row>
    <row r="45" spans="1:7" x14ac:dyDescent="0.35">
      <c r="A45" s="18" t="s">
        <v>955</v>
      </c>
      <c r="B45" s="15">
        <v>5</v>
      </c>
      <c r="C45" s="15">
        <v>61.4</v>
      </c>
      <c r="D45" s="15">
        <v>60</v>
      </c>
      <c r="E45" s="15">
        <v>65</v>
      </c>
      <c r="F45" s="15">
        <v>1410</v>
      </c>
      <c r="G45" s="15">
        <v>4355.3999999999996</v>
      </c>
    </row>
    <row r="49" spans="1:2" x14ac:dyDescent="0.35">
      <c r="A49" s="20" t="s">
        <v>1139</v>
      </c>
    </row>
    <row r="50" spans="1:2" x14ac:dyDescent="0.35">
      <c r="A50" s="21" t="s">
        <v>17</v>
      </c>
      <c r="B50" s="21" t="s">
        <v>1138</v>
      </c>
    </row>
    <row r="51" spans="1:2" x14ac:dyDescent="0.35">
      <c r="A51" t="s">
        <v>20</v>
      </c>
      <c r="B51">
        <v>18430</v>
      </c>
    </row>
    <row r="52" spans="1:2" x14ac:dyDescent="0.35">
      <c r="A52" t="s">
        <v>22</v>
      </c>
      <c r="B52">
        <v>16337</v>
      </c>
    </row>
    <row r="53" spans="1:2" x14ac:dyDescent="0.35">
      <c r="A53" t="s">
        <v>23</v>
      </c>
      <c r="B53">
        <v>14520.7</v>
      </c>
    </row>
    <row r="54" spans="1:2" x14ac:dyDescent="0.35">
      <c r="A54" t="s">
        <v>25</v>
      </c>
      <c r="B54">
        <v>14492.8</v>
      </c>
    </row>
    <row r="55" spans="1:2" x14ac:dyDescent="0.35">
      <c r="A55" t="s">
        <v>11</v>
      </c>
      <c r="B55">
        <v>14408.3</v>
      </c>
    </row>
    <row r="56" spans="1:2" x14ac:dyDescent="0.35">
      <c r="A56" t="s">
        <v>876</v>
      </c>
      <c r="B56">
        <v>12522.7</v>
      </c>
    </row>
    <row r="57" spans="1:2" x14ac:dyDescent="0.35">
      <c r="A57" t="s">
        <v>972</v>
      </c>
      <c r="B57">
        <v>12519</v>
      </c>
    </row>
    <row r="58" spans="1:2" x14ac:dyDescent="0.35">
      <c r="A58" t="s">
        <v>976</v>
      </c>
      <c r="B58">
        <v>12333.3</v>
      </c>
    </row>
    <row r="59" spans="1:2" x14ac:dyDescent="0.35">
      <c r="A59" t="s">
        <v>970</v>
      </c>
      <c r="B59">
        <v>12207</v>
      </c>
    </row>
    <row r="60" spans="1:2" x14ac:dyDescent="0.35">
      <c r="A60" t="s">
        <v>883</v>
      </c>
      <c r="B60">
        <v>11603.3</v>
      </c>
    </row>
  </sheetData>
  <mergeCells count="1">
    <mergeCell ref="A1:G2"/>
  </mergeCells>
  <conditionalFormatting sqref="G4:G4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showGridLines="0" zoomScaleNormal="100" workbookViewId="0">
      <selection sqref="A1:D2"/>
    </sheetView>
  </sheetViews>
  <sheetFormatPr defaultColWidth="8.6328125" defaultRowHeight="14.5" x14ac:dyDescent="0.35"/>
  <cols>
    <col min="1" max="1" width="5" customWidth="1"/>
    <col min="2" max="2" width="45" customWidth="1"/>
    <col min="3" max="3" width="50" customWidth="1"/>
    <col min="4" max="4" width="28" customWidth="1"/>
  </cols>
  <sheetData>
    <row r="1" spans="1:4" ht="30" customHeight="1" x14ac:dyDescent="0.35">
      <c r="A1" s="41" t="s">
        <v>1100</v>
      </c>
      <c r="B1" s="41"/>
      <c r="C1" s="41"/>
      <c r="D1" s="41"/>
    </row>
    <row r="2" spans="1:4" x14ac:dyDescent="0.35">
      <c r="A2" s="41"/>
      <c r="B2" s="41"/>
      <c r="C2" s="41"/>
      <c r="D2" s="41"/>
    </row>
    <row r="3" spans="1:4" x14ac:dyDescent="0.35">
      <c r="A3" s="16" t="s">
        <v>1101</v>
      </c>
      <c r="B3" s="16" t="s">
        <v>1102</v>
      </c>
      <c r="C3" s="16" t="s">
        <v>1103</v>
      </c>
      <c r="D3" s="16" t="s">
        <v>1104</v>
      </c>
    </row>
    <row r="4" spans="1:4" ht="39.75" customHeight="1" x14ac:dyDescent="0.35">
      <c r="A4" s="17">
        <v>1</v>
      </c>
      <c r="B4" s="17" t="s">
        <v>1105</v>
      </c>
      <c r="C4" s="17" t="s">
        <v>1106</v>
      </c>
      <c r="D4" s="17" t="s">
        <v>1107</v>
      </c>
    </row>
    <row r="5" spans="1:4" ht="39.75" customHeight="1" x14ac:dyDescent="0.35">
      <c r="A5" s="18">
        <v>2</v>
      </c>
      <c r="B5" s="18" t="s">
        <v>1108</v>
      </c>
      <c r="C5" s="18" t="s">
        <v>1109</v>
      </c>
      <c r="D5" s="18" t="s">
        <v>1110</v>
      </c>
    </row>
    <row r="6" spans="1:4" ht="39.75" customHeight="1" x14ac:dyDescent="0.35">
      <c r="A6" s="17">
        <v>3</v>
      </c>
      <c r="B6" s="17" t="s">
        <v>1111</v>
      </c>
      <c r="C6" s="17" t="s">
        <v>1112</v>
      </c>
      <c r="D6" s="17" t="s">
        <v>1113</v>
      </c>
    </row>
    <row r="7" spans="1:4" ht="39.75" customHeight="1" x14ac:dyDescent="0.35">
      <c r="A7" s="18">
        <v>4</v>
      </c>
      <c r="B7" s="18" t="s">
        <v>1114</v>
      </c>
      <c r="C7" s="18" t="s">
        <v>1115</v>
      </c>
      <c r="D7" s="18" t="s">
        <v>1116</v>
      </c>
    </row>
    <row r="8" spans="1:4" ht="39.75" customHeight="1" x14ac:dyDescent="0.35">
      <c r="A8" s="17">
        <v>5</v>
      </c>
      <c r="B8" s="17" t="s">
        <v>1117</v>
      </c>
      <c r="C8" s="17" t="s">
        <v>1118</v>
      </c>
      <c r="D8" s="17" t="s">
        <v>1119</v>
      </c>
    </row>
    <row r="9" spans="1:4" ht="39.75" customHeight="1" x14ac:dyDescent="0.35">
      <c r="A9" s="18">
        <v>6</v>
      </c>
      <c r="B9" s="18" t="s">
        <v>1120</v>
      </c>
      <c r="C9" s="18" t="s">
        <v>1121</v>
      </c>
      <c r="D9" s="18" t="s">
        <v>1122</v>
      </c>
    </row>
    <row r="10" spans="1:4" ht="39.75" customHeight="1" x14ac:dyDescent="0.35">
      <c r="A10" s="17">
        <v>7</v>
      </c>
      <c r="B10" s="17" t="s">
        <v>1123</v>
      </c>
      <c r="C10" s="17" t="s">
        <v>1124</v>
      </c>
      <c r="D10" s="17" t="s">
        <v>1125</v>
      </c>
    </row>
    <row r="11" spans="1:4" ht="39.75" customHeight="1" x14ac:dyDescent="0.35">
      <c r="A11" s="18">
        <v>8</v>
      </c>
      <c r="B11" s="18" t="s">
        <v>1126</v>
      </c>
      <c r="C11" s="18" t="s">
        <v>1127</v>
      </c>
      <c r="D11" s="18" t="s">
        <v>1128</v>
      </c>
    </row>
    <row r="12" spans="1:4" ht="39.75" customHeight="1" x14ac:dyDescent="0.35">
      <c r="A12" s="17">
        <v>9</v>
      </c>
      <c r="B12" s="17" t="s">
        <v>1129</v>
      </c>
      <c r="C12" s="17" t="s">
        <v>1130</v>
      </c>
      <c r="D12" s="17" t="s">
        <v>1131</v>
      </c>
    </row>
    <row r="13" spans="1:4" ht="39.75" customHeight="1" x14ac:dyDescent="0.35">
      <c r="A13" s="18">
        <v>10</v>
      </c>
      <c r="B13" s="18" t="s">
        <v>1132</v>
      </c>
      <c r="C13" s="18" t="s">
        <v>1133</v>
      </c>
      <c r="D13" s="18" t="s">
        <v>869</v>
      </c>
    </row>
  </sheetData>
  <mergeCells count="1">
    <mergeCell ref="A1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5"/>
  <sheetViews>
    <sheetView showGridLines="0" zoomScaleNormal="100" workbookViewId="0">
      <selection sqref="A1:E2"/>
    </sheetView>
  </sheetViews>
  <sheetFormatPr defaultColWidth="8.6328125" defaultRowHeight="14.5" x14ac:dyDescent="0.35"/>
  <cols>
    <col min="1" max="1" width="32" customWidth="1"/>
    <col min="2" max="2" width="45" customWidth="1"/>
    <col min="3" max="4" width="14" customWidth="1"/>
    <col min="5" max="5" width="10" customWidth="1"/>
  </cols>
  <sheetData>
    <row r="1" spans="1:5" ht="30" customHeight="1" x14ac:dyDescent="0.35">
      <c r="A1" s="41" t="s">
        <v>33</v>
      </c>
      <c r="B1" s="41"/>
      <c r="C1" s="41"/>
      <c r="D1" s="41"/>
      <c r="E1" s="41"/>
    </row>
    <row r="2" spans="1:5" x14ac:dyDescent="0.35">
      <c r="A2" s="41"/>
      <c r="B2" s="41"/>
      <c r="C2" s="41"/>
      <c r="D2" s="41"/>
      <c r="E2" s="41"/>
    </row>
    <row r="3" spans="1:5" x14ac:dyDescent="0.35">
      <c r="A3" s="16" t="s">
        <v>34</v>
      </c>
      <c r="B3" s="16" t="s">
        <v>35</v>
      </c>
      <c r="C3" s="16" t="s">
        <v>36</v>
      </c>
      <c r="D3" s="16" t="s">
        <v>37</v>
      </c>
      <c r="E3" s="16" t="s">
        <v>14</v>
      </c>
    </row>
    <row r="4" spans="1:5" ht="25" x14ac:dyDescent="0.35">
      <c r="A4" s="17" t="s">
        <v>38</v>
      </c>
      <c r="B4" s="17" t="s">
        <v>39</v>
      </c>
      <c r="C4" s="17" t="s">
        <v>40</v>
      </c>
      <c r="D4" s="17" t="s">
        <v>41</v>
      </c>
      <c r="E4" s="17" t="s">
        <v>10</v>
      </c>
    </row>
    <row r="5" spans="1:5" ht="25" x14ac:dyDescent="0.35">
      <c r="A5" s="18" t="s">
        <v>38</v>
      </c>
      <c r="B5" s="18" t="s">
        <v>42</v>
      </c>
      <c r="C5" s="18" t="s">
        <v>43</v>
      </c>
      <c r="D5" s="18" t="s">
        <v>44</v>
      </c>
      <c r="E5" s="18" t="s">
        <v>10</v>
      </c>
    </row>
    <row r="6" spans="1:5" ht="25" x14ac:dyDescent="0.35">
      <c r="A6" s="17" t="s">
        <v>45</v>
      </c>
      <c r="B6" s="17" t="s">
        <v>46</v>
      </c>
      <c r="C6" s="17" t="s">
        <v>47</v>
      </c>
      <c r="D6" s="17" t="s">
        <v>48</v>
      </c>
      <c r="E6" s="17" t="s">
        <v>10</v>
      </c>
    </row>
    <row r="7" spans="1:5" ht="25" x14ac:dyDescent="0.35">
      <c r="A7" s="18" t="s">
        <v>49</v>
      </c>
      <c r="B7" s="18" t="s">
        <v>50</v>
      </c>
      <c r="C7" s="18" t="s">
        <v>51</v>
      </c>
      <c r="D7" s="18" t="s">
        <v>52</v>
      </c>
      <c r="E7" s="18" t="s">
        <v>24</v>
      </c>
    </row>
    <row r="8" spans="1:5" ht="25" x14ac:dyDescent="0.35">
      <c r="A8" s="17" t="s">
        <v>38</v>
      </c>
      <c r="B8" s="17" t="s">
        <v>53</v>
      </c>
      <c r="C8" s="17" t="s">
        <v>54</v>
      </c>
      <c r="D8" s="17" t="s">
        <v>55</v>
      </c>
      <c r="E8" s="17" t="s">
        <v>24</v>
      </c>
    </row>
    <row r="9" spans="1:5" x14ac:dyDescent="0.35">
      <c r="A9" s="18" t="s">
        <v>56</v>
      </c>
      <c r="B9" s="18" t="s">
        <v>57</v>
      </c>
      <c r="C9" s="18" t="s">
        <v>58</v>
      </c>
      <c r="D9" s="18" t="s">
        <v>59</v>
      </c>
      <c r="E9" s="18" t="s">
        <v>10</v>
      </c>
    </row>
    <row r="10" spans="1:5" ht="25" x14ac:dyDescent="0.35">
      <c r="A10" s="17" t="s">
        <v>60</v>
      </c>
      <c r="B10" s="17" t="s">
        <v>61</v>
      </c>
      <c r="C10" s="17" t="s">
        <v>62</v>
      </c>
      <c r="D10" s="17" t="s">
        <v>63</v>
      </c>
      <c r="E10" s="17" t="s">
        <v>10</v>
      </c>
    </row>
    <row r="11" spans="1:5" x14ac:dyDescent="0.35">
      <c r="A11" s="18" t="s">
        <v>64</v>
      </c>
      <c r="B11" s="18" t="s">
        <v>65</v>
      </c>
      <c r="C11" s="18" t="s">
        <v>66</v>
      </c>
      <c r="D11" s="18" t="s">
        <v>67</v>
      </c>
      <c r="E11" s="18" t="s">
        <v>10</v>
      </c>
    </row>
    <row r="12" spans="1:5" ht="25" x14ac:dyDescent="0.35">
      <c r="A12" s="17" t="s">
        <v>45</v>
      </c>
      <c r="B12" s="17" t="s">
        <v>68</v>
      </c>
      <c r="C12" s="17" t="s">
        <v>69</v>
      </c>
      <c r="D12" s="17" t="s">
        <v>70</v>
      </c>
      <c r="E12" s="17" t="s">
        <v>24</v>
      </c>
    </row>
    <row r="13" spans="1:5" ht="25" x14ac:dyDescent="0.35">
      <c r="A13" s="18" t="s">
        <v>45</v>
      </c>
      <c r="B13" s="18" t="s">
        <v>68</v>
      </c>
      <c r="C13" s="18" t="s">
        <v>71</v>
      </c>
      <c r="D13" s="18" t="s">
        <v>70</v>
      </c>
      <c r="E13" s="18" t="s">
        <v>24</v>
      </c>
    </row>
    <row r="14" spans="1:5" ht="25" x14ac:dyDescent="0.35">
      <c r="A14" s="17" t="s">
        <v>45</v>
      </c>
      <c r="B14" s="17" t="s">
        <v>68</v>
      </c>
      <c r="C14" s="17" t="s">
        <v>71</v>
      </c>
      <c r="D14" s="17" t="s">
        <v>70</v>
      </c>
      <c r="E14" s="17" t="s">
        <v>24</v>
      </c>
    </row>
    <row r="15" spans="1:5" ht="25" x14ac:dyDescent="0.35">
      <c r="A15" s="18" t="s">
        <v>72</v>
      </c>
      <c r="B15" s="18" t="s">
        <v>73</v>
      </c>
      <c r="C15" s="18" t="s">
        <v>69</v>
      </c>
      <c r="D15" s="18" t="s">
        <v>74</v>
      </c>
      <c r="E15" s="18" t="s">
        <v>24</v>
      </c>
    </row>
    <row r="16" spans="1:5" x14ac:dyDescent="0.35">
      <c r="A16" s="17" t="s">
        <v>75</v>
      </c>
      <c r="B16" s="17" t="s">
        <v>39</v>
      </c>
      <c r="C16" s="17" t="s">
        <v>76</v>
      </c>
      <c r="D16" s="17" t="s">
        <v>77</v>
      </c>
      <c r="E16" s="17" t="s">
        <v>10</v>
      </c>
    </row>
    <row r="17" spans="1:5" x14ac:dyDescent="0.35">
      <c r="A17" s="18" t="s">
        <v>78</v>
      </c>
      <c r="B17" s="18" t="s">
        <v>39</v>
      </c>
      <c r="C17" s="18" t="s">
        <v>79</v>
      </c>
      <c r="D17" s="18" t="s">
        <v>80</v>
      </c>
      <c r="E17" s="18" t="s">
        <v>10</v>
      </c>
    </row>
    <row r="18" spans="1:5" x14ac:dyDescent="0.35">
      <c r="A18" s="17" t="s">
        <v>81</v>
      </c>
      <c r="B18" s="17" t="s">
        <v>82</v>
      </c>
      <c r="C18" s="17" t="s">
        <v>83</v>
      </c>
      <c r="D18" s="17" t="s">
        <v>84</v>
      </c>
      <c r="E18" s="17" t="s">
        <v>21</v>
      </c>
    </row>
    <row r="19" spans="1:5" x14ac:dyDescent="0.35">
      <c r="A19" s="18" t="s">
        <v>85</v>
      </c>
      <c r="B19" s="18" t="s">
        <v>86</v>
      </c>
      <c r="C19" s="18" t="s">
        <v>87</v>
      </c>
      <c r="D19" s="18" t="s">
        <v>88</v>
      </c>
      <c r="E19" s="18" t="s">
        <v>21</v>
      </c>
    </row>
    <row r="20" spans="1:5" ht="25" x14ac:dyDescent="0.35">
      <c r="A20" s="17" t="s">
        <v>89</v>
      </c>
      <c r="B20" s="17" t="s">
        <v>90</v>
      </c>
      <c r="C20" s="17" t="s">
        <v>91</v>
      </c>
      <c r="D20" s="17" t="s">
        <v>92</v>
      </c>
      <c r="E20" s="17" t="s">
        <v>21</v>
      </c>
    </row>
    <row r="21" spans="1:5" x14ac:dyDescent="0.35">
      <c r="A21" s="18" t="s">
        <v>93</v>
      </c>
      <c r="B21" s="18" t="s">
        <v>94</v>
      </c>
      <c r="C21" s="18" t="s">
        <v>95</v>
      </c>
      <c r="D21" s="18" t="s">
        <v>96</v>
      </c>
      <c r="E21" s="18" t="s">
        <v>10</v>
      </c>
    </row>
    <row r="22" spans="1:5" x14ac:dyDescent="0.35">
      <c r="A22" s="17" t="s">
        <v>93</v>
      </c>
      <c r="B22" s="17" t="s">
        <v>94</v>
      </c>
      <c r="C22" s="17" t="s">
        <v>97</v>
      </c>
      <c r="D22" s="17" t="s">
        <v>80</v>
      </c>
      <c r="E22" s="17" t="s">
        <v>10</v>
      </c>
    </row>
    <row r="23" spans="1:5" x14ac:dyDescent="0.35">
      <c r="A23" s="18" t="s">
        <v>98</v>
      </c>
      <c r="B23" s="18" t="s">
        <v>39</v>
      </c>
      <c r="C23" s="18" t="s">
        <v>40</v>
      </c>
      <c r="D23" s="18" t="s">
        <v>99</v>
      </c>
      <c r="E23" s="18" t="s">
        <v>10</v>
      </c>
    </row>
    <row r="24" spans="1:5" x14ac:dyDescent="0.35">
      <c r="A24" s="17" t="s">
        <v>100</v>
      </c>
      <c r="B24" s="17" t="s">
        <v>101</v>
      </c>
      <c r="C24" s="17" t="s">
        <v>102</v>
      </c>
      <c r="D24" s="17" t="s">
        <v>103</v>
      </c>
      <c r="E24" s="17" t="s">
        <v>10</v>
      </c>
    </row>
    <row r="25" spans="1:5" x14ac:dyDescent="0.35">
      <c r="A25" s="18" t="s">
        <v>78</v>
      </c>
      <c r="B25" s="18" t="s">
        <v>104</v>
      </c>
      <c r="C25" s="18" t="s">
        <v>105</v>
      </c>
      <c r="D25" s="18" t="s">
        <v>106</v>
      </c>
      <c r="E25" s="18" t="s">
        <v>21</v>
      </c>
    </row>
    <row r="26" spans="1:5" x14ac:dyDescent="0.35">
      <c r="A26" s="17" t="s">
        <v>100</v>
      </c>
      <c r="B26" s="17" t="s">
        <v>101</v>
      </c>
      <c r="C26" s="17" t="s">
        <v>62</v>
      </c>
      <c r="D26" s="17" t="s">
        <v>107</v>
      </c>
      <c r="E26" s="17" t="s">
        <v>10</v>
      </c>
    </row>
    <row r="27" spans="1:5" ht="25" x14ac:dyDescent="0.35">
      <c r="A27" s="18" t="s">
        <v>108</v>
      </c>
      <c r="B27" s="18" t="s">
        <v>90</v>
      </c>
      <c r="C27" s="18" t="s">
        <v>109</v>
      </c>
      <c r="D27" s="18" t="s">
        <v>44</v>
      </c>
      <c r="E27" s="18" t="s">
        <v>21</v>
      </c>
    </row>
    <row r="28" spans="1:5" x14ac:dyDescent="0.35">
      <c r="A28" s="17" t="s">
        <v>64</v>
      </c>
      <c r="B28" s="17" t="s">
        <v>110</v>
      </c>
      <c r="C28" s="17" t="s">
        <v>111</v>
      </c>
      <c r="D28" s="17" t="s">
        <v>112</v>
      </c>
      <c r="E28" s="17" t="s">
        <v>21</v>
      </c>
    </row>
    <row r="29" spans="1:5" ht="25" x14ac:dyDescent="0.35">
      <c r="A29" s="18" t="s">
        <v>113</v>
      </c>
      <c r="B29" s="18" t="s">
        <v>114</v>
      </c>
      <c r="C29" s="18" t="s">
        <v>115</v>
      </c>
      <c r="D29" s="18" t="s">
        <v>116</v>
      </c>
      <c r="E29" s="18" t="s">
        <v>21</v>
      </c>
    </row>
    <row r="30" spans="1:5" ht="25" x14ac:dyDescent="0.35">
      <c r="A30" s="17" t="s">
        <v>117</v>
      </c>
      <c r="B30" s="17" t="s">
        <v>118</v>
      </c>
      <c r="C30" s="17" t="s">
        <v>119</v>
      </c>
      <c r="D30" s="17" t="s">
        <v>120</v>
      </c>
      <c r="E30" s="17" t="s">
        <v>10</v>
      </c>
    </row>
    <row r="31" spans="1:5" ht="25" x14ac:dyDescent="0.35">
      <c r="A31" s="18" t="s">
        <v>117</v>
      </c>
      <c r="B31" s="18" t="s">
        <v>121</v>
      </c>
      <c r="C31" s="18" t="s">
        <v>122</v>
      </c>
      <c r="D31" s="18" t="s">
        <v>123</v>
      </c>
      <c r="E31" s="18" t="s">
        <v>21</v>
      </c>
    </row>
    <row r="32" spans="1:5" ht="25" x14ac:dyDescent="0.35">
      <c r="A32" s="17" t="s">
        <v>124</v>
      </c>
      <c r="B32" s="17" t="s">
        <v>125</v>
      </c>
      <c r="C32" s="17" t="s">
        <v>126</v>
      </c>
      <c r="D32" s="17" t="s">
        <v>127</v>
      </c>
      <c r="E32" s="17" t="s">
        <v>21</v>
      </c>
    </row>
    <row r="33" spans="1:5" ht="25" x14ac:dyDescent="0.35">
      <c r="A33" s="18" t="s">
        <v>128</v>
      </c>
      <c r="B33" s="18" t="s">
        <v>129</v>
      </c>
      <c r="C33" s="18" t="s">
        <v>130</v>
      </c>
      <c r="D33" s="18" t="s">
        <v>131</v>
      </c>
      <c r="E33" s="18" t="s">
        <v>10</v>
      </c>
    </row>
    <row r="34" spans="1:5" x14ac:dyDescent="0.35">
      <c r="A34" s="17" t="s">
        <v>132</v>
      </c>
      <c r="B34" s="17" t="s">
        <v>133</v>
      </c>
      <c r="C34" s="17" t="s">
        <v>40</v>
      </c>
      <c r="D34" s="17" t="s">
        <v>134</v>
      </c>
      <c r="E34" s="17" t="s">
        <v>24</v>
      </c>
    </row>
    <row r="35" spans="1:5" ht="25" x14ac:dyDescent="0.35">
      <c r="A35" s="18" t="s">
        <v>135</v>
      </c>
      <c r="B35" s="18" t="s">
        <v>136</v>
      </c>
      <c r="C35" s="18" t="s">
        <v>137</v>
      </c>
      <c r="D35" s="18" t="s">
        <v>70</v>
      </c>
      <c r="E35" s="18" t="s">
        <v>10</v>
      </c>
    </row>
    <row r="36" spans="1:5" x14ac:dyDescent="0.35">
      <c r="A36" s="17" t="s">
        <v>138</v>
      </c>
      <c r="B36" s="17" t="s">
        <v>39</v>
      </c>
      <c r="C36" s="17" t="s">
        <v>139</v>
      </c>
      <c r="D36" s="17" t="s">
        <v>140</v>
      </c>
      <c r="E36" s="17" t="s">
        <v>10</v>
      </c>
    </row>
    <row r="37" spans="1:5" x14ac:dyDescent="0.35">
      <c r="A37" s="18" t="s">
        <v>141</v>
      </c>
      <c r="B37" s="18" t="s">
        <v>142</v>
      </c>
      <c r="C37" s="18" t="s">
        <v>143</v>
      </c>
      <c r="D37" s="18" t="s">
        <v>144</v>
      </c>
      <c r="E37" s="18" t="s">
        <v>21</v>
      </c>
    </row>
    <row r="38" spans="1:5" x14ac:dyDescent="0.35">
      <c r="A38" s="17" t="s">
        <v>132</v>
      </c>
      <c r="B38" s="17" t="s">
        <v>133</v>
      </c>
      <c r="C38" s="17" t="s">
        <v>145</v>
      </c>
      <c r="D38" s="17" t="s">
        <v>134</v>
      </c>
      <c r="E38" s="17" t="s">
        <v>24</v>
      </c>
    </row>
    <row r="39" spans="1:5" x14ac:dyDescent="0.35">
      <c r="A39" s="18" t="s">
        <v>100</v>
      </c>
      <c r="B39" s="18" t="s">
        <v>146</v>
      </c>
      <c r="C39" s="18" t="s">
        <v>147</v>
      </c>
      <c r="D39" s="18" t="s">
        <v>148</v>
      </c>
      <c r="E39" s="18" t="s">
        <v>21</v>
      </c>
    </row>
    <row r="40" spans="1:5" ht="25" x14ac:dyDescent="0.35">
      <c r="A40" s="17" t="s">
        <v>149</v>
      </c>
      <c r="B40" s="17" t="s">
        <v>150</v>
      </c>
      <c r="C40" s="17" t="s">
        <v>151</v>
      </c>
      <c r="D40" s="17" t="s">
        <v>70</v>
      </c>
      <c r="E40" s="17" t="s">
        <v>10</v>
      </c>
    </row>
    <row r="41" spans="1:5" ht="25" x14ac:dyDescent="0.35">
      <c r="A41" s="18" t="s">
        <v>113</v>
      </c>
      <c r="B41" s="18" t="s">
        <v>114</v>
      </c>
      <c r="C41" s="18" t="s">
        <v>152</v>
      </c>
      <c r="D41" s="18" t="s">
        <v>153</v>
      </c>
      <c r="E41" s="18" t="s">
        <v>21</v>
      </c>
    </row>
    <row r="42" spans="1:5" ht="25" x14ac:dyDescent="0.35">
      <c r="A42" s="17" t="s">
        <v>154</v>
      </c>
      <c r="B42" s="17" t="s">
        <v>155</v>
      </c>
      <c r="C42" s="17" t="s">
        <v>147</v>
      </c>
      <c r="D42" s="17" t="s">
        <v>156</v>
      </c>
      <c r="E42" s="17" t="s">
        <v>10</v>
      </c>
    </row>
    <row r="43" spans="1:5" x14ac:dyDescent="0.35">
      <c r="A43" s="18" t="s">
        <v>157</v>
      </c>
      <c r="B43" s="18" t="s">
        <v>39</v>
      </c>
      <c r="C43" s="18" t="s">
        <v>115</v>
      </c>
      <c r="D43" s="18" t="s">
        <v>158</v>
      </c>
      <c r="E43" s="18" t="s">
        <v>10</v>
      </c>
    </row>
    <row r="44" spans="1:5" x14ac:dyDescent="0.35">
      <c r="A44" s="17" t="s">
        <v>159</v>
      </c>
      <c r="B44" s="17" t="s">
        <v>160</v>
      </c>
      <c r="C44" s="17" t="s">
        <v>161</v>
      </c>
      <c r="D44" s="17" t="s">
        <v>162</v>
      </c>
      <c r="E44" s="17" t="s">
        <v>10</v>
      </c>
    </row>
    <row r="45" spans="1:5" x14ac:dyDescent="0.35">
      <c r="A45" s="18" t="s">
        <v>163</v>
      </c>
      <c r="B45" s="18" t="s">
        <v>142</v>
      </c>
      <c r="C45" s="18" t="s">
        <v>164</v>
      </c>
      <c r="D45" s="18" t="s">
        <v>165</v>
      </c>
      <c r="E45" s="18" t="s">
        <v>21</v>
      </c>
    </row>
    <row r="46" spans="1:5" x14ac:dyDescent="0.35">
      <c r="A46" s="17" t="s">
        <v>166</v>
      </c>
      <c r="B46" s="17" t="s">
        <v>167</v>
      </c>
      <c r="C46" s="17" t="s">
        <v>168</v>
      </c>
      <c r="D46" s="17" t="s">
        <v>169</v>
      </c>
      <c r="E46" s="17" t="s">
        <v>21</v>
      </c>
    </row>
    <row r="47" spans="1:5" ht="25" x14ac:dyDescent="0.35">
      <c r="A47" s="18" t="s">
        <v>170</v>
      </c>
      <c r="B47" s="18" t="s">
        <v>171</v>
      </c>
      <c r="C47" s="18" t="s">
        <v>172</v>
      </c>
      <c r="D47" s="18" t="s">
        <v>173</v>
      </c>
      <c r="E47" s="18" t="s">
        <v>10</v>
      </c>
    </row>
    <row r="48" spans="1:5" ht="25" x14ac:dyDescent="0.35">
      <c r="A48" s="17" t="s">
        <v>174</v>
      </c>
      <c r="B48" s="17" t="s">
        <v>175</v>
      </c>
      <c r="C48" s="17" t="s">
        <v>176</v>
      </c>
      <c r="D48" s="17" t="s">
        <v>177</v>
      </c>
      <c r="E48" s="17" t="s">
        <v>21</v>
      </c>
    </row>
    <row r="49" spans="1:5" x14ac:dyDescent="0.35">
      <c r="A49" s="18" t="s">
        <v>178</v>
      </c>
      <c r="B49" s="18" t="s">
        <v>179</v>
      </c>
      <c r="C49" s="18" t="s">
        <v>62</v>
      </c>
      <c r="D49" s="18" t="s">
        <v>180</v>
      </c>
      <c r="E49" s="18" t="s">
        <v>10</v>
      </c>
    </row>
    <row r="50" spans="1:5" ht="25" x14ac:dyDescent="0.35">
      <c r="A50" s="17" t="s">
        <v>181</v>
      </c>
      <c r="B50" s="17" t="s">
        <v>182</v>
      </c>
      <c r="C50" s="17" t="s">
        <v>183</v>
      </c>
      <c r="D50" s="17" t="s">
        <v>184</v>
      </c>
      <c r="E50" s="17" t="s">
        <v>21</v>
      </c>
    </row>
    <row r="51" spans="1:5" ht="25" x14ac:dyDescent="0.35">
      <c r="A51" s="18" t="s">
        <v>60</v>
      </c>
      <c r="B51" s="18" t="s">
        <v>185</v>
      </c>
      <c r="C51" s="18" t="s">
        <v>186</v>
      </c>
      <c r="D51" s="18" t="s">
        <v>63</v>
      </c>
      <c r="E51" s="18" t="s">
        <v>24</v>
      </c>
    </row>
    <row r="52" spans="1:5" ht="25" x14ac:dyDescent="0.35">
      <c r="A52" s="17" t="s">
        <v>187</v>
      </c>
      <c r="B52" s="17" t="s">
        <v>188</v>
      </c>
      <c r="C52" s="17" t="s">
        <v>189</v>
      </c>
      <c r="D52" s="17" t="s">
        <v>190</v>
      </c>
      <c r="E52" s="17" t="s">
        <v>26</v>
      </c>
    </row>
    <row r="53" spans="1:5" ht="25" x14ac:dyDescent="0.35">
      <c r="A53" s="18" t="s">
        <v>124</v>
      </c>
      <c r="B53" s="18" t="s">
        <v>125</v>
      </c>
      <c r="C53" s="18" t="s">
        <v>176</v>
      </c>
      <c r="D53" s="18" t="s">
        <v>127</v>
      </c>
      <c r="E53" s="18" t="s">
        <v>21</v>
      </c>
    </row>
    <row r="54" spans="1:5" x14ac:dyDescent="0.35">
      <c r="A54" s="17" t="s">
        <v>93</v>
      </c>
      <c r="B54" s="17" t="s">
        <v>191</v>
      </c>
      <c r="C54" s="17" t="s">
        <v>192</v>
      </c>
      <c r="D54" s="17" t="s">
        <v>193</v>
      </c>
      <c r="E54" s="17" t="s">
        <v>21</v>
      </c>
    </row>
    <row r="55" spans="1:5" ht="25" x14ac:dyDescent="0.35">
      <c r="A55" s="18" t="s">
        <v>154</v>
      </c>
      <c r="B55" s="18" t="s">
        <v>155</v>
      </c>
      <c r="C55" s="18" t="s">
        <v>194</v>
      </c>
      <c r="D55" s="18" t="s">
        <v>156</v>
      </c>
      <c r="E55" s="18" t="s">
        <v>10</v>
      </c>
    </row>
    <row r="56" spans="1:5" ht="25" x14ac:dyDescent="0.35">
      <c r="A56" s="17" t="s">
        <v>195</v>
      </c>
      <c r="B56" s="17" t="s">
        <v>196</v>
      </c>
      <c r="C56" s="17" t="s">
        <v>139</v>
      </c>
      <c r="D56" s="17" t="s">
        <v>197</v>
      </c>
      <c r="E56" s="17" t="s">
        <v>21</v>
      </c>
    </row>
    <row r="57" spans="1:5" ht="25" x14ac:dyDescent="0.35">
      <c r="A57" s="18" t="s">
        <v>198</v>
      </c>
      <c r="B57" s="18" t="s">
        <v>199</v>
      </c>
      <c r="C57" s="18" t="s">
        <v>200</v>
      </c>
      <c r="D57" s="18" t="s">
        <v>201</v>
      </c>
      <c r="E57" s="18" t="s">
        <v>10</v>
      </c>
    </row>
    <row r="58" spans="1:5" ht="25" x14ac:dyDescent="0.35">
      <c r="A58" s="17" t="s">
        <v>202</v>
      </c>
      <c r="B58" s="17" t="s">
        <v>39</v>
      </c>
      <c r="C58" s="17" t="s">
        <v>130</v>
      </c>
      <c r="D58" s="17" t="s">
        <v>203</v>
      </c>
      <c r="E58" s="17" t="s">
        <v>10</v>
      </c>
    </row>
    <row r="59" spans="1:5" x14ac:dyDescent="0.35">
      <c r="A59" s="18" t="s">
        <v>85</v>
      </c>
      <c r="B59" s="18" t="s">
        <v>86</v>
      </c>
      <c r="C59" s="18" t="s">
        <v>204</v>
      </c>
      <c r="D59" s="18" t="s">
        <v>205</v>
      </c>
      <c r="E59" s="18" t="s">
        <v>21</v>
      </c>
    </row>
    <row r="60" spans="1:5" x14ac:dyDescent="0.35">
      <c r="A60" s="17" t="s">
        <v>206</v>
      </c>
      <c r="B60" s="17" t="s">
        <v>207</v>
      </c>
      <c r="C60" s="17" t="s">
        <v>164</v>
      </c>
      <c r="D60" s="17" t="s">
        <v>106</v>
      </c>
      <c r="E60" s="17" t="s">
        <v>21</v>
      </c>
    </row>
    <row r="61" spans="1:5" x14ac:dyDescent="0.35">
      <c r="A61" s="18" t="s">
        <v>208</v>
      </c>
      <c r="B61" s="18" t="s">
        <v>209</v>
      </c>
      <c r="C61" s="18" t="s">
        <v>119</v>
      </c>
      <c r="D61" s="18" t="s">
        <v>210</v>
      </c>
      <c r="E61" s="18" t="s">
        <v>21</v>
      </c>
    </row>
    <row r="62" spans="1:5" x14ac:dyDescent="0.35">
      <c r="A62" s="17" t="s">
        <v>211</v>
      </c>
      <c r="B62" s="17" t="s">
        <v>212</v>
      </c>
      <c r="C62" s="17" t="s">
        <v>145</v>
      </c>
      <c r="D62" s="17" t="s">
        <v>70</v>
      </c>
      <c r="E62" s="17" t="s">
        <v>10</v>
      </c>
    </row>
    <row r="63" spans="1:5" ht="25" x14ac:dyDescent="0.35">
      <c r="A63" s="18" t="s">
        <v>213</v>
      </c>
      <c r="B63" s="18" t="s">
        <v>214</v>
      </c>
      <c r="C63" s="18" t="s">
        <v>126</v>
      </c>
      <c r="D63" s="18" t="s">
        <v>215</v>
      </c>
      <c r="E63" s="18" t="s">
        <v>21</v>
      </c>
    </row>
    <row r="64" spans="1:5" x14ac:dyDescent="0.35">
      <c r="A64" s="17" t="s">
        <v>216</v>
      </c>
      <c r="B64" s="17" t="s">
        <v>214</v>
      </c>
      <c r="C64" s="17" t="s">
        <v>217</v>
      </c>
      <c r="D64" s="17" t="s">
        <v>218</v>
      </c>
      <c r="E64" s="17" t="s">
        <v>21</v>
      </c>
    </row>
    <row r="65" spans="1:5" x14ac:dyDescent="0.35">
      <c r="A65" s="18" t="s">
        <v>219</v>
      </c>
      <c r="B65" s="18" t="s">
        <v>220</v>
      </c>
      <c r="C65" s="18" t="s">
        <v>221</v>
      </c>
      <c r="D65" s="18" t="s">
        <v>222</v>
      </c>
      <c r="E65" s="18" t="s">
        <v>10</v>
      </c>
    </row>
    <row r="66" spans="1:5" ht="25" x14ac:dyDescent="0.35">
      <c r="A66" s="17" t="s">
        <v>38</v>
      </c>
      <c r="B66" s="17" t="s">
        <v>39</v>
      </c>
      <c r="C66" s="17" t="s">
        <v>223</v>
      </c>
      <c r="D66" s="17" t="s">
        <v>224</v>
      </c>
      <c r="E66" s="17" t="s">
        <v>10</v>
      </c>
    </row>
    <row r="67" spans="1:5" x14ac:dyDescent="0.35">
      <c r="A67" s="18" t="s">
        <v>225</v>
      </c>
      <c r="B67" s="18" t="s">
        <v>226</v>
      </c>
      <c r="C67" s="18" t="s">
        <v>227</v>
      </c>
      <c r="D67" s="18" t="s">
        <v>112</v>
      </c>
      <c r="E67" s="18" t="s">
        <v>21</v>
      </c>
    </row>
    <row r="68" spans="1:5" x14ac:dyDescent="0.35">
      <c r="A68" s="17" t="s">
        <v>228</v>
      </c>
      <c r="B68" s="17" t="s">
        <v>142</v>
      </c>
      <c r="C68" s="17" t="s">
        <v>229</v>
      </c>
      <c r="D68" s="17" t="s">
        <v>230</v>
      </c>
      <c r="E68" s="17" t="s">
        <v>21</v>
      </c>
    </row>
    <row r="69" spans="1:5" ht="25" x14ac:dyDescent="0.35">
      <c r="A69" s="18" t="s">
        <v>231</v>
      </c>
      <c r="B69" s="18" t="s">
        <v>232</v>
      </c>
      <c r="C69" s="18" t="s">
        <v>233</v>
      </c>
      <c r="D69" s="18" t="s">
        <v>234</v>
      </c>
      <c r="E69" s="18" t="s">
        <v>21</v>
      </c>
    </row>
    <row r="70" spans="1:5" ht="25" x14ac:dyDescent="0.35">
      <c r="A70" s="17" t="s">
        <v>49</v>
      </c>
      <c r="B70" s="17" t="s">
        <v>50</v>
      </c>
      <c r="C70" s="17" t="s">
        <v>235</v>
      </c>
      <c r="D70" s="17" t="s">
        <v>52</v>
      </c>
      <c r="E70" s="17" t="s">
        <v>24</v>
      </c>
    </row>
    <row r="71" spans="1:5" x14ac:dyDescent="0.35">
      <c r="A71" s="18" t="s">
        <v>236</v>
      </c>
      <c r="B71" s="18" t="s">
        <v>237</v>
      </c>
      <c r="C71" s="18" t="s">
        <v>235</v>
      </c>
      <c r="D71" s="18" t="s">
        <v>238</v>
      </c>
      <c r="E71" s="18" t="s">
        <v>10</v>
      </c>
    </row>
    <row r="72" spans="1:5" x14ac:dyDescent="0.35">
      <c r="A72" s="17" t="s">
        <v>239</v>
      </c>
      <c r="B72" s="17" t="s">
        <v>57</v>
      </c>
      <c r="C72" s="17" t="s">
        <v>240</v>
      </c>
      <c r="D72" s="17" t="s">
        <v>241</v>
      </c>
      <c r="E72" s="17" t="s">
        <v>10</v>
      </c>
    </row>
    <row r="73" spans="1:5" x14ac:dyDescent="0.35">
      <c r="A73" s="18" t="s">
        <v>242</v>
      </c>
      <c r="B73" s="18" t="s">
        <v>243</v>
      </c>
      <c r="C73" s="18" t="s">
        <v>152</v>
      </c>
      <c r="D73" s="18" t="s">
        <v>244</v>
      </c>
      <c r="E73" s="18" t="s">
        <v>21</v>
      </c>
    </row>
    <row r="74" spans="1:5" ht="25" x14ac:dyDescent="0.35">
      <c r="A74" s="17" t="s">
        <v>245</v>
      </c>
      <c r="B74" s="17" t="s">
        <v>246</v>
      </c>
      <c r="C74" s="17" t="s">
        <v>152</v>
      </c>
      <c r="D74" s="17" t="s">
        <v>247</v>
      </c>
      <c r="E74" s="17" t="s">
        <v>21</v>
      </c>
    </row>
    <row r="75" spans="1:5" x14ac:dyDescent="0.35">
      <c r="A75" s="18" t="s">
        <v>216</v>
      </c>
      <c r="B75" s="18" t="s">
        <v>214</v>
      </c>
      <c r="C75" s="18" t="s">
        <v>126</v>
      </c>
      <c r="D75" s="18" t="s">
        <v>248</v>
      </c>
      <c r="E75" s="18" t="s">
        <v>21</v>
      </c>
    </row>
    <row r="76" spans="1:5" ht="25" x14ac:dyDescent="0.35">
      <c r="A76" s="17" t="s">
        <v>154</v>
      </c>
      <c r="B76" s="17" t="s">
        <v>155</v>
      </c>
      <c r="C76" s="17" t="s">
        <v>249</v>
      </c>
      <c r="D76" s="17" t="s">
        <v>250</v>
      </c>
      <c r="E76" s="17" t="s">
        <v>10</v>
      </c>
    </row>
    <row r="77" spans="1:5" ht="25" x14ac:dyDescent="0.35">
      <c r="A77" s="18" t="s">
        <v>154</v>
      </c>
      <c r="B77" s="18" t="s">
        <v>155</v>
      </c>
      <c r="C77" s="18" t="s">
        <v>251</v>
      </c>
      <c r="D77" s="18" t="s">
        <v>252</v>
      </c>
      <c r="E77" s="18" t="s">
        <v>10</v>
      </c>
    </row>
    <row r="78" spans="1:5" ht="25" x14ac:dyDescent="0.35">
      <c r="A78" s="17" t="s">
        <v>154</v>
      </c>
      <c r="B78" s="17" t="s">
        <v>155</v>
      </c>
      <c r="C78" s="17" t="s">
        <v>194</v>
      </c>
      <c r="D78" s="17" t="s">
        <v>252</v>
      </c>
      <c r="E78" s="17" t="s">
        <v>10</v>
      </c>
    </row>
    <row r="79" spans="1:5" x14ac:dyDescent="0.35">
      <c r="A79" s="18" t="s">
        <v>253</v>
      </c>
      <c r="B79" s="18" t="s">
        <v>254</v>
      </c>
      <c r="C79" s="18" t="s">
        <v>255</v>
      </c>
      <c r="D79" s="18" t="s">
        <v>256</v>
      </c>
      <c r="E79" s="18" t="s">
        <v>21</v>
      </c>
    </row>
    <row r="80" spans="1:5" x14ac:dyDescent="0.35">
      <c r="A80" s="17" t="s">
        <v>257</v>
      </c>
      <c r="B80" s="17" t="s">
        <v>258</v>
      </c>
      <c r="C80" s="17" t="s">
        <v>259</v>
      </c>
      <c r="D80" s="17" t="s">
        <v>260</v>
      </c>
      <c r="E80" s="17" t="s">
        <v>10</v>
      </c>
    </row>
    <row r="81" spans="1:5" x14ac:dyDescent="0.35">
      <c r="A81" s="18" t="s">
        <v>216</v>
      </c>
      <c r="B81" s="18" t="s">
        <v>214</v>
      </c>
      <c r="C81" s="18" t="s">
        <v>126</v>
      </c>
      <c r="D81" s="18" t="s">
        <v>248</v>
      </c>
      <c r="E81" s="18" t="s">
        <v>21</v>
      </c>
    </row>
    <row r="82" spans="1:5" ht="25" x14ac:dyDescent="0.35">
      <c r="A82" s="17" t="s">
        <v>261</v>
      </c>
      <c r="B82" s="17" t="s">
        <v>262</v>
      </c>
      <c r="C82" s="17" t="s">
        <v>263</v>
      </c>
      <c r="D82" s="17" t="s">
        <v>48</v>
      </c>
      <c r="E82" s="17" t="s">
        <v>10</v>
      </c>
    </row>
    <row r="83" spans="1:5" ht="25" x14ac:dyDescent="0.35">
      <c r="A83" s="18" t="s">
        <v>264</v>
      </c>
      <c r="B83" s="18" t="s">
        <v>46</v>
      </c>
      <c r="C83" s="18" t="s">
        <v>265</v>
      </c>
      <c r="D83" s="18" t="s">
        <v>266</v>
      </c>
      <c r="E83" s="18" t="s">
        <v>10</v>
      </c>
    </row>
    <row r="84" spans="1:5" x14ac:dyDescent="0.35">
      <c r="A84" s="17" t="s">
        <v>267</v>
      </c>
      <c r="B84" s="17" t="s">
        <v>268</v>
      </c>
      <c r="C84" s="17" t="s">
        <v>269</v>
      </c>
      <c r="D84" s="17" t="s">
        <v>270</v>
      </c>
      <c r="E84" s="17" t="s">
        <v>10</v>
      </c>
    </row>
    <row r="85" spans="1:5" x14ac:dyDescent="0.35">
      <c r="A85" s="18" t="s">
        <v>271</v>
      </c>
      <c r="B85" s="18" t="s">
        <v>142</v>
      </c>
      <c r="C85" s="18" t="s">
        <v>272</v>
      </c>
      <c r="D85" s="18" t="s">
        <v>273</v>
      </c>
      <c r="E85" s="18" t="s">
        <v>21</v>
      </c>
    </row>
    <row r="86" spans="1:5" ht="25" x14ac:dyDescent="0.35">
      <c r="A86" s="17" t="s">
        <v>274</v>
      </c>
      <c r="B86" s="17" t="s">
        <v>86</v>
      </c>
      <c r="C86" s="17" t="s">
        <v>164</v>
      </c>
      <c r="D86" s="17" t="s">
        <v>169</v>
      </c>
      <c r="E86" s="17" t="s">
        <v>21</v>
      </c>
    </row>
    <row r="87" spans="1:5" x14ac:dyDescent="0.35">
      <c r="A87" s="18" t="s">
        <v>275</v>
      </c>
      <c r="B87" s="18" t="s">
        <v>276</v>
      </c>
      <c r="C87" s="18" t="s">
        <v>277</v>
      </c>
      <c r="D87" s="18" t="s">
        <v>70</v>
      </c>
      <c r="E87" s="18" t="s">
        <v>10</v>
      </c>
    </row>
    <row r="88" spans="1:5" ht="25" x14ac:dyDescent="0.35">
      <c r="A88" s="17" t="s">
        <v>261</v>
      </c>
      <c r="B88" s="17" t="s">
        <v>262</v>
      </c>
      <c r="C88" s="17" t="s">
        <v>278</v>
      </c>
      <c r="D88" s="17" t="s">
        <v>279</v>
      </c>
      <c r="E88" s="17" t="s">
        <v>10</v>
      </c>
    </row>
    <row r="89" spans="1:5" x14ac:dyDescent="0.35">
      <c r="A89" s="18" t="s">
        <v>216</v>
      </c>
      <c r="B89" s="18" t="s">
        <v>214</v>
      </c>
      <c r="C89" s="18" t="s">
        <v>126</v>
      </c>
      <c r="D89" s="18" t="s">
        <v>248</v>
      </c>
      <c r="E89" s="18" t="s">
        <v>21</v>
      </c>
    </row>
    <row r="90" spans="1:5" x14ac:dyDescent="0.35">
      <c r="A90" s="17" t="s">
        <v>280</v>
      </c>
      <c r="B90" s="17" t="s">
        <v>281</v>
      </c>
      <c r="C90" s="17" t="s">
        <v>282</v>
      </c>
      <c r="D90" s="17" t="s">
        <v>283</v>
      </c>
      <c r="E90" s="17" t="s">
        <v>10</v>
      </c>
    </row>
    <row r="91" spans="1:5" ht="25" x14ac:dyDescent="0.35">
      <c r="A91" s="18" t="s">
        <v>284</v>
      </c>
      <c r="B91" s="18" t="s">
        <v>285</v>
      </c>
      <c r="C91" s="18" t="s">
        <v>286</v>
      </c>
      <c r="D91" s="18" t="s">
        <v>80</v>
      </c>
      <c r="E91" s="18" t="s">
        <v>10</v>
      </c>
    </row>
    <row r="92" spans="1:5" ht="25" x14ac:dyDescent="0.35">
      <c r="A92" s="17" t="s">
        <v>287</v>
      </c>
      <c r="B92" s="17" t="s">
        <v>288</v>
      </c>
      <c r="C92" s="17" t="s">
        <v>221</v>
      </c>
      <c r="D92" s="17" t="s">
        <v>289</v>
      </c>
      <c r="E92" s="17" t="s">
        <v>10</v>
      </c>
    </row>
    <row r="93" spans="1:5" x14ac:dyDescent="0.35">
      <c r="A93" s="18" t="s">
        <v>206</v>
      </c>
      <c r="B93" s="18" t="s">
        <v>207</v>
      </c>
      <c r="C93" s="18" t="s">
        <v>143</v>
      </c>
      <c r="D93" s="18" t="s">
        <v>290</v>
      </c>
      <c r="E93" s="18" t="s">
        <v>21</v>
      </c>
    </row>
    <row r="94" spans="1:5" ht="25" x14ac:dyDescent="0.35">
      <c r="A94" s="17" t="s">
        <v>89</v>
      </c>
      <c r="B94" s="17" t="s">
        <v>90</v>
      </c>
      <c r="C94" s="17" t="s">
        <v>291</v>
      </c>
      <c r="D94" s="17" t="s">
        <v>292</v>
      </c>
      <c r="E94" s="17" t="s">
        <v>21</v>
      </c>
    </row>
    <row r="95" spans="1:5" x14ac:dyDescent="0.35">
      <c r="A95" s="18" t="s">
        <v>257</v>
      </c>
      <c r="B95" s="18" t="s">
        <v>293</v>
      </c>
      <c r="C95" s="18" t="s">
        <v>259</v>
      </c>
      <c r="D95" s="18" t="s">
        <v>294</v>
      </c>
      <c r="E95" s="18" t="s">
        <v>10</v>
      </c>
    </row>
    <row r="96" spans="1:5" ht="25" x14ac:dyDescent="0.35">
      <c r="A96" s="17" t="s">
        <v>154</v>
      </c>
      <c r="B96" s="17" t="s">
        <v>295</v>
      </c>
      <c r="C96" s="17" t="s">
        <v>194</v>
      </c>
      <c r="D96" s="17" t="s">
        <v>169</v>
      </c>
      <c r="E96" s="17" t="s">
        <v>21</v>
      </c>
    </row>
    <row r="97" spans="1:5" x14ac:dyDescent="0.35">
      <c r="A97" s="18" t="s">
        <v>64</v>
      </c>
      <c r="B97" s="18" t="s">
        <v>110</v>
      </c>
      <c r="C97" s="18" t="s">
        <v>296</v>
      </c>
      <c r="D97" s="18" t="s">
        <v>297</v>
      </c>
      <c r="E97" s="18" t="s">
        <v>21</v>
      </c>
    </row>
    <row r="98" spans="1:5" x14ac:dyDescent="0.35">
      <c r="A98" s="17" t="s">
        <v>298</v>
      </c>
      <c r="B98" s="17" t="s">
        <v>299</v>
      </c>
      <c r="C98" s="17" t="s">
        <v>300</v>
      </c>
      <c r="D98" s="17" t="s">
        <v>301</v>
      </c>
      <c r="E98" s="17" t="s">
        <v>10</v>
      </c>
    </row>
    <row r="99" spans="1:5" ht="25" x14ac:dyDescent="0.35">
      <c r="A99" s="18" t="s">
        <v>302</v>
      </c>
      <c r="B99" s="18" t="s">
        <v>303</v>
      </c>
      <c r="C99" s="18" t="s">
        <v>304</v>
      </c>
      <c r="D99" s="18" t="s">
        <v>305</v>
      </c>
      <c r="E99" s="18" t="s">
        <v>21</v>
      </c>
    </row>
    <row r="100" spans="1:5" ht="25" x14ac:dyDescent="0.35">
      <c r="A100" s="17" t="s">
        <v>261</v>
      </c>
      <c r="B100" s="17" t="s">
        <v>306</v>
      </c>
      <c r="C100" s="17" t="s">
        <v>307</v>
      </c>
      <c r="D100" s="17" t="s">
        <v>308</v>
      </c>
      <c r="E100" s="17" t="s">
        <v>19</v>
      </c>
    </row>
    <row r="101" spans="1:5" ht="25" x14ac:dyDescent="0.35">
      <c r="A101" s="18" t="s">
        <v>309</v>
      </c>
      <c r="B101" s="18" t="s">
        <v>310</v>
      </c>
      <c r="C101" s="18" t="s">
        <v>311</v>
      </c>
      <c r="D101" s="18" t="s">
        <v>238</v>
      </c>
      <c r="E101" s="18" t="s">
        <v>24</v>
      </c>
    </row>
    <row r="102" spans="1:5" x14ac:dyDescent="0.35">
      <c r="A102" s="17" t="s">
        <v>312</v>
      </c>
      <c r="B102" s="17" t="s">
        <v>313</v>
      </c>
      <c r="C102" s="17" t="s">
        <v>105</v>
      </c>
      <c r="D102" s="17" t="s">
        <v>314</v>
      </c>
      <c r="E102" s="17" t="s">
        <v>21</v>
      </c>
    </row>
    <row r="103" spans="1:5" x14ac:dyDescent="0.35">
      <c r="A103" s="18" t="s">
        <v>315</v>
      </c>
      <c r="B103" s="18" t="s">
        <v>101</v>
      </c>
      <c r="C103" s="18" t="s">
        <v>291</v>
      </c>
      <c r="D103" s="18" t="s">
        <v>316</v>
      </c>
      <c r="E103" s="18" t="s">
        <v>10</v>
      </c>
    </row>
    <row r="104" spans="1:5" x14ac:dyDescent="0.35">
      <c r="A104" s="17" t="s">
        <v>317</v>
      </c>
      <c r="B104" s="17" t="s">
        <v>318</v>
      </c>
      <c r="C104" s="17" t="s">
        <v>319</v>
      </c>
      <c r="D104" s="17" t="s">
        <v>320</v>
      </c>
      <c r="E104" s="17" t="s">
        <v>21</v>
      </c>
    </row>
    <row r="105" spans="1:5" x14ac:dyDescent="0.35">
      <c r="A105" s="18" t="s">
        <v>317</v>
      </c>
      <c r="B105" s="18" t="s">
        <v>318</v>
      </c>
      <c r="C105" s="18" t="s">
        <v>321</v>
      </c>
      <c r="D105" s="18" t="s">
        <v>322</v>
      </c>
      <c r="E105" s="18" t="s">
        <v>21</v>
      </c>
    </row>
    <row r="106" spans="1:5" x14ac:dyDescent="0.35">
      <c r="A106" s="17" t="s">
        <v>315</v>
      </c>
      <c r="B106" s="17" t="s">
        <v>101</v>
      </c>
      <c r="C106" s="17" t="s">
        <v>76</v>
      </c>
      <c r="D106" s="17" t="s">
        <v>52</v>
      </c>
      <c r="E106" s="17" t="s">
        <v>10</v>
      </c>
    </row>
    <row r="107" spans="1:5" x14ac:dyDescent="0.35">
      <c r="A107" s="18" t="s">
        <v>93</v>
      </c>
      <c r="B107" s="18" t="s">
        <v>323</v>
      </c>
      <c r="C107" s="18" t="s">
        <v>183</v>
      </c>
      <c r="D107" s="18" t="s">
        <v>324</v>
      </c>
      <c r="E107" s="18" t="s">
        <v>21</v>
      </c>
    </row>
    <row r="108" spans="1:5" x14ac:dyDescent="0.35">
      <c r="A108" s="17" t="s">
        <v>78</v>
      </c>
      <c r="B108" s="17" t="s">
        <v>325</v>
      </c>
      <c r="C108" s="17" t="s">
        <v>326</v>
      </c>
      <c r="D108" s="17" t="s">
        <v>96</v>
      </c>
      <c r="E108" s="17" t="s">
        <v>10</v>
      </c>
    </row>
    <row r="109" spans="1:5" x14ac:dyDescent="0.35">
      <c r="A109" s="18" t="s">
        <v>93</v>
      </c>
      <c r="B109" s="18" t="s">
        <v>94</v>
      </c>
      <c r="C109" s="18" t="s">
        <v>327</v>
      </c>
      <c r="D109" s="18" t="s">
        <v>297</v>
      </c>
      <c r="E109" s="18" t="s">
        <v>10</v>
      </c>
    </row>
    <row r="110" spans="1:5" x14ac:dyDescent="0.35">
      <c r="A110" s="17" t="s">
        <v>93</v>
      </c>
      <c r="B110" s="17" t="s">
        <v>104</v>
      </c>
      <c r="C110" s="17" t="s">
        <v>328</v>
      </c>
      <c r="D110" s="17" t="s">
        <v>324</v>
      </c>
      <c r="E110" s="17" t="s">
        <v>21</v>
      </c>
    </row>
    <row r="111" spans="1:5" x14ac:dyDescent="0.35">
      <c r="A111" s="18" t="s">
        <v>93</v>
      </c>
      <c r="B111" s="18" t="s">
        <v>39</v>
      </c>
      <c r="C111" s="18" t="s">
        <v>263</v>
      </c>
      <c r="D111" s="18" t="s">
        <v>80</v>
      </c>
      <c r="E111" s="18" t="s">
        <v>10</v>
      </c>
    </row>
    <row r="112" spans="1:5" x14ac:dyDescent="0.35">
      <c r="A112" s="17" t="s">
        <v>329</v>
      </c>
      <c r="B112" s="17" t="s">
        <v>94</v>
      </c>
      <c r="C112" s="17" t="s">
        <v>263</v>
      </c>
      <c r="D112" s="17" t="s">
        <v>80</v>
      </c>
      <c r="E112" s="17" t="s">
        <v>10</v>
      </c>
    </row>
    <row r="113" spans="1:5" x14ac:dyDescent="0.35">
      <c r="A113" s="18" t="s">
        <v>329</v>
      </c>
      <c r="B113" s="18" t="s">
        <v>330</v>
      </c>
      <c r="C113" s="18" t="s">
        <v>331</v>
      </c>
      <c r="D113" s="18" t="s">
        <v>322</v>
      </c>
      <c r="E113" s="18" t="s">
        <v>21</v>
      </c>
    </row>
    <row r="114" spans="1:5" x14ac:dyDescent="0.35">
      <c r="A114" s="17" t="s">
        <v>93</v>
      </c>
      <c r="B114" s="17" t="s">
        <v>39</v>
      </c>
      <c r="C114" s="17" t="s">
        <v>286</v>
      </c>
      <c r="D114" s="17" t="s">
        <v>297</v>
      </c>
      <c r="E114" s="17" t="s">
        <v>10</v>
      </c>
    </row>
    <row r="115" spans="1:5" x14ac:dyDescent="0.35">
      <c r="A115" s="18" t="s">
        <v>332</v>
      </c>
      <c r="B115" s="18" t="s">
        <v>207</v>
      </c>
      <c r="C115" s="18" t="s">
        <v>164</v>
      </c>
      <c r="D115" s="18" t="s">
        <v>106</v>
      </c>
      <c r="E115" s="18" t="s">
        <v>21</v>
      </c>
    </row>
    <row r="116" spans="1:5" x14ac:dyDescent="0.35">
      <c r="A116" s="17" t="s">
        <v>206</v>
      </c>
      <c r="B116" s="17" t="s">
        <v>207</v>
      </c>
      <c r="C116" s="17" t="s">
        <v>143</v>
      </c>
      <c r="D116" s="17" t="s">
        <v>290</v>
      </c>
      <c r="E116" s="17" t="s">
        <v>21</v>
      </c>
    </row>
    <row r="117" spans="1:5" x14ac:dyDescent="0.35">
      <c r="A117" s="18" t="s">
        <v>333</v>
      </c>
      <c r="B117" s="18" t="s">
        <v>207</v>
      </c>
      <c r="C117" s="18" t="s">
        <v>164</v>
      </c>
      <c r="D117" s="18" t="s">
        <v>106</v>
      </c>
      <c r="E117" s="18" t="s">
        <v>21</v>
      </c>
    </row>
    <row r="118" spans="1:5" x14ac:dyDescent="0.35">
      <c r="A118" s="17" t="s">
        <v>206</v>
      </c>
      <c r="B118" s="17" t="s">
        <v>207</v>
      </c>
      <c r="C118" s="17" t="s">
        <v>164</v>
      </c>
      <c r="D118" s="17" t="s">
        <v>106</v>
      </c>
      <c r="E118" s="17" t="s">
        <v>21</v>
      </c>
    </row>
    <row r="119" spans="1:5" x14ac:dyDescent="0.35">
      <c r="A119" s="18" t="s">
        <v>206</v>
      </c>
      <c r="B119" s="18" t="s">
        <v>207</v>
      </c>
      <c r="C119" s="18" t="s">
        <v>143</v>
      </c>
      <c r="D119" s="18" t="s">
        <v>290</v>
      </c>
      <c r="E119" s="18" t="s">
        <v>21</v>
      </c>
    </row>
    <row r="120" spans="1:5" x14ac:dyDescent="0.35">
      <c r="A120" s="17" t="s">
        <v>334</v>
      </c>
      <c r="B120" s="17" t="s">
        <v>207</v>
      </c>
      <c r="C120" s="17" t="s">
        <v>164</v>
      </c>
      <c r="D120" s="17" t="s">
        <v>335</v>
      </c>
      <c r="E120" s="17" t="s">
        <v>21</v>
      </c>
    </row>
    <row r="121" spans="1:5" x14ac:dyDescent="0.35">
      <c r="A121" s="18" t="s">
        <v>336</v>
      </c>
      <c r="B121" s="18" t="s">
        <v>337</v>
      </c>
      <c r="C121" s="18" t="s">
        <v>338</v>
      </c>
      <c r="D121" s="18" t="s">
        <v>339</v>
      </c>
      <c r="E121" s="18" t="s">
        <v>10</v>
      </c>
    </row>
    <row r="122" spans="1:5" x14ac:dyDescent="0.35">
      <c r="A122" s="17" t="s">
        <v>340</v>
      </c>
      <c r="B122" s="17" t="s">
        <v>337</v>
      </c>
      <c r="C122" s="17" t="s">
        <v>341</v>
      </c>
      <c r="D122" s="17" t="s">
        <v>342</v>
      </c>
      <c r="E122" s="17" t="s">
        <v>10</v>
      </c>
    </row>
    <row r="123" spans="1:5" x14ac:dyDescent="0.35">
      <c r="A123" s="18" t="s">
        <v>340</v>
      </c>
      <c r="B123" s="18" t="s">
        <v>343</v>
      </c>
      <c r="C123" s="18" t="s">
        <v>338</v>
      </c>
      <c r="D123" s="18" t="s">
        <v>339</v>
      </c>
      <c r="E123" s="18" t="s">
        <v>10</v>
      </c>
    </row>
    <row r="124" spans="1:5" x14ac:dyDescent="0.35">
      <c r="A124" s="17" t="s">
        <v>344</v>
      </c>
      <c r="B124" s="17" t="s">
        <v>337</v>
      </c>
      <c r="C124" s="17" t="s">
        <v>338</v>
      </c>
      <c r="D124" s="17" t="s">
        <v>339</v>
      </c>
      <c r="E124" s="17" t="s">
        <v>10</v>
      </c>
    </row>
    <row r="125" spans="1:5" x14ac:dyDescent="0.35">
      <c r="A125" s="18" t="s">
        <v>344</v>
      </c>
      <c r="B125" s="18" t="s">
        <v>337</v>
      </c>
      <c r="C125" s="18" t="s">
        <v>341</v>
      </c>
      <c r="D125" s="18" t="s">
        <v>342</v>
      </c>
      <c r="E125" s="18" t="s">
        <v>10</v>
      </c>
    </row>
    <row r="126" spans="1:5" x14ac:dyDescent="0.35">
      <c r="A126" s="17" t="s">
        <v>345</v>
      </c>
      <c r="B126" s="17" t="s">
        <v>268</v>
      </c>
      <c r="C126" s="17" t="s">
        <v>111</v>
      </c>
      <c r="D126" s="17" t="s">
        <v>346</v>
      </c>
      <c r="E126" s="17" t="s">
        <v>10</v>
      </c>
    </row>
    <row r="127" spans="1:5" x14ac:dyDescent="0.35">
      <c r="A127" s="18" t="s">
        <v>345</v>
      </c>
      <c r="B127" s="18" t="s">
        <v>337</v>
      </c>
      <c r="C127" s="18" t="s">
        <v>255</v>
      </c>
      <c r="D127" s="18" t="s">
        <v>339</v>
      </c>
      <c r="E127" s="18" t="s">
        <v>10</v>
      </c>
    </row>
    <row r="128" spans="1:5" x14ac:dyDescent="0.35">
      <c r="A128" s="17" t="s">
        <v>347</v>
      </c>
      <c r="B128" s="17" t="s">
        <v>299</v>
      </c>
      <c r="C128" s="17" t="s">
        <v>348</v>
      </c>
      <c r="D128" s="17" t="s">
        <v>301</v>
      </c>
      <c r="E128" s="17" t="s">
        <v>10</v>
      </c>
    </row>
    <row r="129" spans="1:5" x14ac:dyDescent="0.35">
      <c r="A129" s="18" t="s">
        <v>349</v>
      </c>
      <c r="B129" s="18" t="s">
        <v>188</v>
      </c>
      <c r="C129" s="18" t="s">
        <v>350</v>
      </c>
      <c r="D129" s="18" t="s">
        <v>190</v>
      </c>
      <c r="E129" s="18" t="s">
        <v>26</v>
      </c>
    </row>
    <row r="130" spans="1:5" x14ac:dyDescent="0.35">
      <c r="A130" s="17" t="s">
        <v>351</v>
      </c>
      <c r="B130" s="17" t="s">
        <v>352</v>
      </c>
      <c r="C130" s="17" t="s">
        <v>58</v>
      </c>
      <c r="D130" s="17" t="s">
        <v>353</v>
      </c>
      <c r="E130" s="17" t="s">
        <v>10</v>
      </c>
    </row>
    <row r="131" spans="1:5" x14ac:dyDescent="0.35">
      <c r="A131" s="18" t="s">
        <v>354</v>
      </c>
      <c r="B131" s="18" t="s">
        <v>94</v>
      </c>
      <c r="C131" s="18" t="s">
        <v>355</v>
      </c>
      <c r="D131" s="18" t="s">
        <v>356</v>
      </c>
      <c r="E131" s="18" t="s">
        <v>10</v>
      </c>
    </row>
    <row r="132" spans="1:5" ht="25" x14ac:dyDescent="0.35">
      <c r="A132" s="17" t="s">
        <v>357</v>
      </c>
      <c r="B132" s="17" t="s">
        <v>358</v>
      </c>
      <c r="C132" s="17" t="s">
        <v>359</v>
      </c>
      <c r="D132" s="17" t="s">
        <v>360</v>
      </c>
      <c r="E132" s="17" t="s">
        <v>21</v>
      </c>
    </row>
    <row r="133" spans="1:5" x14ac:dyDescent="0.35">
      <c r="A133" s="18" t="s">
        <v>361</v>
      </c>
      <c r="B133" s="18" t="s">
        <v>362</v>
      </c>
      <c r="C133" s="18" t="s">
        <v>111</v>
      </c>
      <c r="D133" s="18" t="s">
        <v>96</v>
      </c>
      <c r="E133" s="18" t="s">
        <v>10</v>
      </c>
    </row>
    <row r="134" spans="1:5" x14ac:dyDescent="0.35">
      <c r="A134" s="17" t="s">
        <v>363</v>
      </c>
      <c r="B134" s="17" t="s">
        <v>364</v>
      </c>
      <c r="C134" s="17" t="s">
        <v>365</v>
      </c>
      <c r="D134" s="17" t="s">
        <v>366</v>
      </c>
      <c r="E134" s="17" t="s">
        <v>10</v>
      </c>
    </row>
    <row r="135" spans="1:5" ht="25" x14ac:dyDescent="0.35">
      <c r="A135" s="18" t="s">
        <v>367</v>
      </c>
      <c r="B135" s="18" t="s">
        <v>368</v>
      </c>
      <c r="C135" s="18" t="s">
        <v>355</v>
      </c>
      <c r="D135" s="18" t="s">
        <v>369</v>
      </c>
      <c r="E135" s="18" t="s">
        <v>21</v>
      </c>
    </row>
    <row r="136" spans="1:5" ht="25" x14ac:dyDescent="0.35">
      <c r="A136" s="17" t="s">
        <v>367</v>
      </c>
      <c r="B136" s="17" t="s">
        <v>370</v>
      </c>
      <c r="C136" s="17" t="s">
        <v>338</v>
      </c>
      <c r="D136" s="17" t="s">
        <v>371</v>
      </c>
      <c r="E136" s="17" t="s">
        <v>19</v>
      </c>
    </row>
    <row r="137" spans="1:5" ht="25" x14ac:dyDescent="0.35">
      <c r="A137" s="18" t="s">
        <v>372</v>
      </c>
      <c r="B137" s="18" t="s">
        <v>373</v>
      </c>
      <c r="C137" s="18" t="s">
        <v>105</v>
      </c>
      <c r="D137" s="18" t="s">
        <v>374</v>
      </c>
      <c r="E137" s="18" t="s">
        <v>21</v>
      </c>
    </row>
    <row r="138" spans="1:5" ht="25" x14ac:dyDescent="0.35">
      <c r="A138" s="17" t="s">
        <v>261</v>
      </c>
      <c r="B138" s="17" t="s">
        <v>375</v>
      </c>
      <c r="C138" s="17" t="s">
        <v>105</v>
      </c>
      <c r="D138" s="17" t="s">
        <v>376</v>
      </c>
      <c r="E138" s="17" t="s">
        <v>21</v>
      </c>
    </row>
    <row r="139" spans="1:5" x14ac:dyDescent="0.35">
      <c r="A139" s="18" t="s">
        <v>377</v>
      </c>
      <c r="B139" s="18" t="s">
        <v>378</v>
      </c>
      <c r="C139" s="18" t="s">
        <v>255</v>
      </c>
      <c r="D139" s="18" t="s">
        <v>379</v>
      </c>
      <c r="E139" s="18" t="s">
        <v>21</v>
      </c>
    </row>
    <row r="140" spans="1:5" x14ac:dyDescent="0.35">
      <c r="A140" s="17" t="s">
        <v>225</v>
      </c>
      <c r="B140" s="17" t="s">
        <v>146</v>
      </c>
      <c r="C140" s="17" t="s">
        <v>380</v>
      </c>
      <c r="D140" s="17" t="s">
        <v>381</v>
      </c>
      <c r="E140" s="17" t="s">
        <v>21</v>
      </c>
    </row>
    <row r="141" spans="1:5" x14ac:dyDescent="0.35">
      <c r="A141" s="18" t="s">
        <v>225</v>
      </c>
      <c r="B141" s="18" t="s">
        <v>146</v>
      </c>
      <c r="C141" s="18" t="s">
        <v>382</v>
      </c>
      <c r="D141" s="18" t="s">
        <v>383</v>
      </c>
      <c r="E141" s="18" t="s">
        <v>21</v>
      </c>
    </row>
    <row r="142" spans="1:5" x14ac:dyDescent="0.35">
      <c r="A142" s="17" t="s">
        <v>384</v>
      </c>
      <c r="B142" s="17" t="s">
        <v>318</v>
      </c>
      <c r="C142" s="17" t="s">
        <v>385</v>
      </c>
      <c r="D142" s="17" t="s">
        <v>386</v>
      </c>
      <c r="E142" s="17" t="s">
        <v>21</v>
      </c>
    </row>
    <row r="143" spans="1:5" x14ac:dyDescent="0.35">
      <c r="A143" s="18" t="s">
        <v>317</v>
      </c>
      <c r="B143" s="18" t="s">
        <v>318</v>
      </c>
      <c r="C143" s="18" t="s">
        <v>387</v>
      </c>
      <c r="D143" s="18" t="s">
        <v>388</v>
      </c>
      <c r="E143" s="18" t="s">
        <v>21</v>
      </c>
    </row>
    <row r="144" spans="1:5" x14ac:dyDescent="0.35">
      <c r="A144" s="17" t="s">
        <v>315</v>
      </c>
      <c r="B144" s="17" t="s">
        <v>389</v>
      </c>
      <c r="C144" s="17" t="s">
        <v>263</v>
      </c>
      <c r="D144" s="17" t="s">
        <v>52</v>
      </c>
      <c r="E144" s="17" t="s">
        <v>10</v>
      </c>
    </row>
    <row r="145" spans="1:5" x14ac:dyDescent="0.35">
      <c r="A145" s="18" t="s">
        <v>390</v>
      </c>
      <c r="B145" s="18" t="s">
        <v>391</v>
      </c>
      <c r="C145" s="18" t="s">
        <v>392</v>
      </c>
      <c r="D145" s="18" t="s">
        <v>393</v>
      </c>
      <c r="E145" s="18" t="s">
        <v>10</v>
      </c>
    </row>
    <row r="146" spans="1:5" x14ac:dyDescent="0.35">
      <c r="A146" s="17" t="s">
        <v>344</v>
      </c>
      <c r="B146" s="17" t="s">
        <v>337</v>
      </c>
      <c r="C146" s="17" t="s">
        <v>341</v>
      </c>
      <c r="D146" s="17" t="s">
        <v>342</v>
      </c>
      <c r="E146" s="17" t="s">
        <v>10</v>
      </c>
    </row>
    <row r="147" spans="1:5" ht="25" x14ac:dyDescent="0.35">
      <c r="A147" s="18" t="s">
        <v>245</v>
      </c>
      <c r="B147" s="18" t="s">
        <v>246</v>
      </c>
      <c r="C147" s="18" t="s">
        <v>394</v>
      </c>
      <c r="D147" s="18" t="s">
        <v>395</v>
      </c>
      <c r="E147" s="18" t="s">
        <v>21</v>
      </c>
    </row>
    <row r="148" spans="1:5" x14ac:dyDescent="0.35">
      <c r="A148" s="17" t="s">
        <v>347</v>
      </c>
      <c r="B148" s="17" t="s">
        <v>299</v>
      </c>
      <c r="C148" s="17" t="s">
        <v>396</v>
      </c>
      <c r="D148" s="17" t="s">
        <v>301</v>
      </c>
      <c r="E148" s="17" t="s">
        <v>10</v>
      </c>
    </row>
    <row r="149" spans="1:5" x14ac:dyDescent="0.35">
      <c r="A149" s="18" t="s">
        <v>397</v>
      </c>
      <c r="B149" s="18" t="s">
        <v>299</v>
      </c>
      <c r="C149" s="18" t="s">
        <v>300</v>
      </c>
      <c r="D149" s="18" t="s">
        <v>301</v>
      </c>
      <c r="E149" s="18" t="s">
        <v>10</v>
      </c>
    </row>
    <row r="150" spans="1:5" ht="25" x14ac:dyDescent="0.35">
      <c r="A150" s="17" t="s">
        <v>302</v>
      </c>
      <c r="B150" s="17" t="s">
        <v>398</v>
      </c>
      <c r="C150" s="17" t="s">
        <v>259</v>
      </c>
      <c r="D150" s="17" t="s">
        <v>399</v>
      </c>
      <c r="E150" s="17" t="s">
        <v>10</v>
      </c>
    </row>
    <row r="151" spans="1:5" x14ac:dyDescent="0.35">
      <c r="A151" s="18" t="s">
        <v>400</v>
      </c>
      <c r="B151" s="18" t="s">
        <v>401</v>
      </c>
      <c r="C151" s="18" t="s">
        <v>402</v>
      </c>
      <c r="D151" s="18" t="s">
        <v>403</v>
      </c>
      <c r="E151" s="18" t="s">
        <v>10</v>
      </c>
    </row>
    <row r="152" spans="1:5" x14ac:dyDescent="0.35">
      <c r="A152" s="17" t="s">
        <v>404</v>
      </c>
      <c r="B152" s="17" t="s">
        <v>405</v>
      </c>
      <c r="C152" s="17" t="s">
        <v>406</v>
      </c>
      <c r="D152" s="17" t="s">
        <v>407</v>
      </c>
      <c r="E152" s="17" t="s">
        <v>21</v>
      </c>
    </row>
    <row r="153" spans="1:5" x14ac:dyDescent="0.35">
      <c r="A153" s="18" t="s">
        <v>408</v>
      </c>
      <c r="B153" s="18" t="s">
        <v>86</v>
      </c>
      <c r="C153" s="18" t="s">
        <v>122</v>
      </c>
      <c r="D153" s="18" t="s">
        <v>409</v>
      </c>
      <c r="E153" s="18" t="s">
        <v>21</v>
      </c>
    </row>
    <row r="154" spans="1:5" x14ac:dyDescent="0.35">
      <c r="A154" s="17" t="s">
        <v>329</v>
      </c>
      <c r="B154" s="17" t="s">
        <v>410</v>
      </c>
      <c r="C154" s="17" t="s">
        <v>411</v>
      </c>
      <c r="D154" s="17" t="s">
        <v>324</v>
      </c>
      <c r="E154" s="17" t="s">
        <v>21</v>
      </c>
    </row>
    <row r="155" spans="1:5" ht="25" x14ac:dyDescent="0.35">
      <c r="A155" s="18" t="s">
        <v>412</v>
      </c>
      <c r="B155" s="18" t="s">
        <v>413</v>
      </c>
      <c r="C155" s="18" t="s">
        <v>348</v>
      </c>
      <c r="D155" s="18" t="s">
        <v>414</v>
      </c>
      <c r="E155" s="18" t="s">
        <v>19</v>
      </c>
    </row>
    <row r="156" spans="1:5" x14ac:dyDescent="0.35">
      <c r="A156" s="17" t="s">
        <v>415</v>
      </c>
      <c r="B156" s="17" t="s">
        <v>299</v>
      </c>
      <c r="C156" s="17" t="s">
        <v>348</v>
      </c>
      <c r="D156" s="17" t="s">
        <v>301</v>
      </c>
      <c r="E156" s="17" t="s">
        <v>10</v>
      </c>
    </row>
    <row r="157" spans="1:5" x14ac:dyDescent="0.35">
      <c r="A157" s="18" t="s">
        <v>416</v>
      </c>
      <c r="B157" s="18" t="s">
        <v>417</v>
      </c>
      <c r="C157" s="18" t="s">
        <v>418</v>
      </c>
      <c r="D157" s="18" t="s">
        <v>419</v>
      </c>
      <c r="E157" s="18" t="s">
        <v>10</v>
      </c>
    </row>
    <row r="158" spans="1:5" x14ac:dyDescent="0.35">
      <c r="A158" s="17" t="s">
        <v>216</v>
      </c>
      <c r="B158" s="17" t="s">
        <v>420</v>
      </c>
      <c r="C158" s="17" t="s">
        <v>421</v>
      </c>
      <c r="D158" s="17" t="s">
        <v>422</v>
      </c>
      <c r="E158" s="17" t="s">
        <v>10</v>
      </c>
    </row>
    <row r="159" spans="1:5" ht="25" x14ac:dyDescent="0.35">
      <c r="A159" s="18" t="s">
        <v>174</v>
      </c>
      <c r="B159" s="18" t="s">
        <v>175</v>
      </c>
      <c r="C159" s="18" t="s">
        <v>355</v>
      </c>
      <c r="D159" s="18" t="s">
        <v>423</v>
      </c>
      <c r="E159" s="18" t="s">
        <v>21</v>
      </c>
    </row>
    <row r="160" spans="1:5" x14ac:dyDescent="0.35">
      <c r="A160" s="17" t="s">
        <v>100</v>
      </c>
      <c r="B160" s="17" t="s">
        <v>146</v>
      </c>
      <c r="C160" s="17" t="s">
        <v>424</v>
      </c>
      <c r="D160" s="17" t="s">
        <v>425</v>
      </c>
      <c r="E160" s="17" t="s">
        <v>21</v>
      </c>
    </row>
    <row r="161" spans="1:5" x14ac:dyDescent="0.35">
      <c r="A161" s="18" t="s">
        <v>225</v>
      </c>
      <c r="B161" s="18" t="s">
        <v>101</v>
      </c>
      <c r="C161" s="18" t="s">
        <v>426</v>
      </c>
      <c r="D161" s="18" t="s">
        <v>427</v>
      </c>
      <c r="E161" s="18" t="s">
        <v>10</v>
      </c>
    </row>
    <row r="162" spans="1:5" x14ac:dyDescent="0.35">
      <c r="A162" s="17" t="s">
        <v>428</v>
      </c>
      <c r="B162" s="17" t="s">
        <v>378</v>
      </c>
      <c r="C162" s="17" t="s">
        <v>429</v>
      </c>
      <c r="D162" s="17" t="s">
        <v>430</v>
      </c>
      <c r="E162" s="17" t="s">
        <v>21</v>
      </c>
    </row>
    <row r="163" spans="1:5" x14ac:dyDescent="0.35">
      <c r="A163" s="18" t="s">
        <v>315</v>
      </c>
      <c r="B163" s="18" t="s">
        <v>101</v>
      </c>
      <c r="C163" s="18" t="s">
        <v>139</v>
      </c>
      <c r="D163" s="18" t="s">
        <v>431</v>
      </c>
      <c r="E163" s="18" t="s">
        <v>10</v>
      </c>
    </row>
    <row r="164" spans="1:5" x14ac:dyDescent="0.35">
      <c r="A164" s="17" t="s">
        <v>315</v>
      </c>
      <c r="B164" s="17" t="s">
        <v>389</v>
      </c>
      <c r="C164" s="17" t="s">
        <v>263</v>
      </c>
      <c r="D164" s="17" t="s">
        <v>52</v>
      </c>
      <c r="E164" s="17" t="s">
        <v>10</v>
      </c>
    </row>
    <row r="165" spans="1:5" x14ac:dyDescent="0.35">
      <c r="A165" s="18" t="s">
        <v>315</v>
      </c>
      <c r="B165" s="18" t="s">
        <v>146</v>
      </c>
      <c r="C165" s="18" t="s">
        <v>432</v>
      </c>
      <c r="D165" s="18" t="s">
        <v>388</v>
      </c>
      <c r="E165" s="18" t="s">
        <v>21</v>
      </c>
    </row>
    <row r="166" spans="1:5" ht="25" x14ac:dyDescent="0.35">
      <c r="A166" s="17" t="s">
        <v>433</v>
      </c>
      <c r="B166" s="17" t="s">
        <v>434</v>
      </c>
      <c r="C166" s="17" t="s">
        <v>435</v>
      </c>
      <c r="D166" s="17" t="s">
        <v>436</v>
      </c>
      <c r="E166" s="17" t="s">
        <v>10</v>
      </c>
    </row>
    <row r="167" spans="1:5" x14ac:dyDescent="0.35">
      <c r="A167" s="18" t="s">
        <v>437</v>
      </c>
      <c r="B167" s="18" t="s">
        <v>438</v>
      </c>
      <c r="C167" s="18" t="s">
        <v>406</v>
      </c>
      <c r="D167" s="18" t="s">
        <v>439</v>
      </c>
      <c r="E167" s="18" t="s">
        <v>10</v>
      </c>
    </row>
    <row r="168" spans="1:5" ht="25" x14ac:dyDescent="0.35">
      <c r="A168" s="17" t="s">
        <v>440</v>
      </c>
      <c r="B168" s="17" t="s">
        <v>441</v>
      </c>
      <c r="C168" s="17" t="s">
        <v>200</v>
      </c>
      <c r="D168" s="17" t="s">
        <v>190</v>
      </c>
      <c r="E168" s="17" t="s">
        <v>26</v>
      </c>
    </row>
    <row r="169" spans="1:5" x14ac:dyDescent="0.35">
      <c r="A169" s="18" t="s">
        <v>93</v>
      </c>
      <c r="B169" s="18" t="s">
        <v>39</v>
      </c>
      <c r="C169" s="18" t="s">
        <v>442</v>
      </c>
      <c r="D169" s="18" t="s">
        <v>80</v>
      </c>
      <c r="E169" s="18" t="s">
        <v>10</v>
      </c>
    </row>
    <row r="170" spans="1:5" x14ac:dyDescent="0.35">
      <c r="A170" s="17" t="s">
        <v>443</v>
      </c>
      <c r="B170" s="17" t="s">
        <v>39</v>
      </c>
      <c r="C170" s="17" t="s">
        <v>183</v>
      </c>
      <c r="D170" s="17" t="s">
        <v>96</v>
      </c>
      <c r="E170" s="17" t="s">
        <v>10</v>
      </c>
    </row>
    <row r="171" spans="1:5" ht="25" x14ac:dyDescent="0.35">
      <c r="A171" s="18" t="s">
        <v>302</v>
      </c>
      <c r="B171" s="18" t="s">
        <v>398</v>
      </c>
      <c r="C171" s="18" t="s">
        <v>444</v>
      </c>
      <c r="D171" s="18" t="s">
        <v>399</v>
      </c>
      <c r="E171" s="18" t="s">
        <v>10</v>
      </c>
    </row>
    <row r="172" spans="1:5" x14ac:dyDescent="0.35">
      <c r="A172" s="17" t="s">
        <v>93</v>
      </c>
      <c r="B172" s="17" t="s">
        <v>39</v>
      </c>
      <c r="C172" s="17" t="s">
        <v>326</v>
      </c>
      <c r="D172" s="17" t="s">
        <v>297</v>
      </c>
      <c r="E172" s="17" t="s">
        <v>10</v>
      </c>
    </row>
    <row r="173" spans="1:5" x14ac:dyDescent="0.35">
      <c r="A173" s="18" t="s">
        <v>93</v>
      </c>
      <c r="B173" s="18" t="s">
        <v>104</v>
      </c>
      <c r="C173" s="18" t="s">
        <v>445</v>
      </c>
      <c r="D173" s="18" t="s">
        <v>446</v>
      </c>
      <c r="E173" s="18" t="s">
        <v>21</v>
      </c>
    </row>
    <row r="174" spans="1:5" x14ac:dyDescent="0.35">
      <c r="A174" s="17" t="s">
        <v>93</v>
      </c>
      <c r="B174" s="17" t="s">
        <v>104</v>
      </c>
      <c r="C174" s="17" t="s">
        <v>447</v>
      </c>
      <c r="D174" s="17" t="s">
        <v>106</v>
      </c>
      <c r="E174" s="17" t="s">
        <v>21</v>
      </c>
    </row>
    <row r="175" spans="1:5" ht="25" x14ac:dyDescent="0.35">
      <c r="A175" s="18" t="s">
        <v>448</v>
      </c>
      <c r="B175" s="18" t="s">
        <v>449</v>
      </c>
      <c r="C175" s="18" t="s">
        <v>161</v>
      </c>
      <c r="D175" s="18" t="s">
        <v>450</v>
      </c>
      <c r="E175" s="18" t="s">
        <v>19</v>
      </c>
    </row>
    <row r="176" spans="1:5" ht="25" x14ac:dyDescent="0.35">
      <c r="A176" s="17" t="s">
        <v>451</v>
      </c>
      <c r="B176" s="17" t="s">
        <v>452</v>
      </c>
      <c r="C176" s="17" t="s">
        <v>453</v>
      </c>
      <c r="D176" s="17" t="s">
        <v>308</v>
      </c>
      <c r="E176" s="17" t="s">
        <v>19</v>
      </c>
    </row>
    <row r="177" spans="1:5" x14ac:dyDescent="0.35">
      <c r="A177" s="18" t="s">
        <v>454</v>
      </c>
      <c r="B177" s="18" t="s">
        <v>175</v>
      </c>
      <c r="C177" s="18" t="s">
        <v>348</v>
      </c>
      <c r="D177" s="18" t="s">
        <v>376</v>
      </c>
      <c r="E177" s="18" t="s">
        <v>21</v>
      </c>
    </row>
    <row r="178" spans="1:5" x14ac:dyDescent="0.35">
      <c r="A178" s="17" t="s">
        <v>280</v>
      </c>
      <c r="B178" s="17" t="s">
        <v>281</v>
      </c>
      <c r="C178" s="17" t="s">
        <v>76</v>
      </c>
      <c r="D178" s="17" t="s">
        <v>455</v>
      </c>
      <c r="E178" s="17" t="s">
        <v>10</v>
      </c>
    </row>
    <row r="179" spans="1:5" x14ac:dyDescent="0.35">
      <c r="A179" s="18" t="s">
        <v>456</v>
      </c>
      <c r="B179" s="18" t="s">
        <v>457</v>
      </c>
      <c r="C179" s="18" t="s">
        <v>458</v>
      </c>
      <c r="D179" s="18" t="s">
        <v>459</v>
      </c>
      <c r="E179" s="18" t="s">
        <v>21</v>
      </c>
    </row>
    <row r="180" spans="1:5" x14ac:dyDescent="0.35">
      <c r="A180" s="17" t="s">
        <v>93</v>
      </c>
      <c r="B180" s="17" t="s">
        <v>460</v>
      </c>
      <c r="C180" s="17" t="s">
        <v>461</v>
      </c>
      <c r="D180" s="17" t="s">
        <v>322</v>
      </c>
      <c r="E180" s="17" t="s">
        <v>21</v>
      </c>
    </row>
    <row r="181" spans="1:5" x14ac:dyDescent="0.35">
      <c r="A181" s="18" t="s">
        <v>462</v>
      </c>
      <c r="B181" s="18" t="s">
        <v>146</v>
      </c>
      <c r="C181" s="18" t="s">
        <v>463</v>
      </c>
      <c r="D181" s="18" t="s">
        <v>464</v>
      </c>
      <c r="E181" s="18" t="s">
        <v>21</v>
      </c>
    </row>
    <row r="182" spans="1:5" x14ac:dyDescent="0.35">
      <c r="A182" s="17" t="s">
        <v>465</v>
      </c>
      <c r="B182" s="17" t="s">
        <v>318</v>
      </c>
      <c r="C182" s="17" t="s">
        <v>466</v>
      </c>
      <c r="D182" s="17" t="s">
        <v>467</v>
      </c>
      <c r="E182" s="17" t="s">
        <v>21</v>
      </c>
    </row>
    <row r="183" spans="1:5" x14ac:dyDescent="0.35">
      <c r="A183" s="18" t="s">
        <v>315</v>
      </c>
      <c r="B183" s="18" t="s">
        <v>146</v>
      </c>
      <c r="C183" s="18" t="s">
        <v>468</v>
      </c>
      <c r="D183" s="18" t="s">
        <v>469</v>
      </c>
      <c r="E183" s="18" t="s">
        <v>21</v>
      </c>
    </row>
    <row r="184" spans="1:5" x14ac:dyDescent="0.35">
      <c r="A184" s="17" t="s">
        <v>470</v>
      </c>
      <c r="B184" s="17" t="s">
        <v>471</v>
      </c>
      <c r="C184" s="17" t="s">
        <v>105</v>
      </c>
      <c r="D184" s="17" t="s">
        <v>472</v>
      </c>
      <c r="E184" s="17" t="s">
        <v>21</v>
      </c>
    </row>
    <row r="185" spans="1:5" ht="25" x14ac:dyDescent="0.35">
      <c r="A185" s="18" t="s">
        <v>473</v>
      </c>
      <c r="B185" s="18" t="s">
        <v>474</v>
      </c>
      <c r="C185" s="18" t="s">
        <v>475</v>
      </c>
      <c r="D185" s="18" t="s">
        <v>476</v>
      </c>
      <c r="E185" s="18" t="s">
        <v>10</v>
      </c>
    </row>
    <row r="186" spans="1:5" x14ac:dyDescent="0.35">
      <c r="A186" s="17" t="s">
        <v>329</v>
      </c>
      <c r="B186" s="17" t="s">
        <v>330</v>
      </c>
      <c r="C186" s="17" t="s">
        <v>192</v>
      </c>
      <c r="D186" s="17" t="s">
        <v>106</v>
      </c>
      <c r="E186" s="17" t="s">
        <v>21</v>
      </c>
    </row>
    <row r="187" spans="1:5" x14ac:dyDescent="0.35">
      <c r="A187" s="18" t="s">
        <v>477</v>
      </c>
      <c r="B187" s="18" t="s">
        <v>478</v>
      </c>
      <c r="C187" s="18" t="s">
        <v>479</v>
      </c>
      <c r="D187" s="18" t="s">
        <v>480</v>
      </c>
      <c r="E187" s="18" t="s">
        <v>21</v>
      </c>
    </row>
    <row r="188" spans="1:5" ht="25" x14ac:dyDescent="0.35">
      <c r="A188" s="17" t="s">
        <v>38</v>
      </c>
      <c r="B188" s="17" t="s">
        <v>39</v>
      </c>
      <c r="C188" s="17" t="s">
        <v>200</v>
      </c>
      <c r="D188" s="17" t="s">
        <v>481</v>
      </c>
      <c r="E188" s="17" t="s">
        <v>10</v>
      </c>
    </row>
    <row r="189" spans="1:5" ht="25" x14ac:dyDescent="0.35">
      <c r="A189" s="18" t="s">
        <v>451</v>
      </c>
      <c r="B189" s="18" t="s">
        <v>482</v>
      </c>
      <c r="C189" s="18" t="s">
        <v>483</v>
      </c>
      <c r="D189" s="18" t="s">
        <v>484</v>
      </c>
      <c r="E189" s="18" t="s">
        <v>21</v>
      </c>
    </row>
    <row r="190" spans="1:5" ht="25" x14ac:dyDescent="0.35">
      <c r="A190" s="17" t="s">
        <v>451</v>
      </c>
      <c r="B190" s="17" t="s">
        <v>482</v>
      </c>
      <c r="C190" s="17" t="s">
        <v>485</v>
      </c>
      <c r="D190" s="17" t="s">
        <v>486</v>
      </c>
      <c r="E190" s="17" t="s">
        <v>21</v>
      </c>
    </row>
    <row r="191" spans="1:5" ht="25" x14ac:dyDescent="0.35">
      <c r="A191" s="18" t="s">
        <v>487</v>
      </c>
      <c r="B191" s="18" t="s">
        <v>46</v>
      </c>
      <c r="C191" s="18" t="s">
        <v>488</v>
      </c>
      <c r="D191" s="18" t="s">
        <v>489</v>
      </c>
      <c r="E191" s="18" t="s">
        <v>10</v>
      </c>
    </row>
    <row r="192" spans="1:5" ht="25" x14ac:dyDescent="0.35">
      <c r="A192" s="17" t="s">
        <v>174</v>
      </c>
      <c r="B192" s="17" t="s">
        <v>175</v>
      </c>
      <c r="C192" s="17" t="s">
        <v>355</v>
      </c>
      <c r="D192" s="17" t="s">
        <v>423</v>
      </c>
      <c r="E192" s="17" t="s">
        <v>21</v>
      </c>
    </row>
    <row r="193" spans="1:5" ht="25" x14ac:dyDescent="0.35">
      <c r="A193" s="18" t="s">
        <v>490</v>
      </c>
      <c r="B193" s="18" t="s">
        <v>491</v>
      </c>
      <c r="C193" s="18" t="s">
        <v>492</v>
      </c>
      <c r="D193" s="18" t="s">
        <v>493</v>
      </c>
      <c r="E193" s="18" t="s">
        <v>21</v>
      </c>
    </row>
    <row r="194" spans="1:5" ht="25" x14ac:dyDescent="0.35">
      <c r="A194" s="17" t="s">
        <v>494</v>
      </c>
      <c r="B194" s="17" t="s">
        <v>495</v>
      </c>
      <c r="C194" s="17" t="s">
        <v>79</v>
      </c>
      <c r="D194" s="17" t="s">
        <v>496</v>
      </c>
      <c r="E194" s="17" t="s">
        <v>10</v>
      </c>
    </row>
    <row r="195" spans="1:5" x14ac:dyDescent="0.35">
      <c r="A195" s="18" t="s">
        <v>228</v>
      </c>
      <c r="B195" s="18" t="s">
        <v>497</v>
      </c>
      <c r="C195" s="18" t="s">
        <v>498</v>
      </c>
      <c r="D195" s="18" t="s">
        <v>273</v>
      </c>
      <c r="E195" s="18" t="s">
        <v>21</v>
      </c>
    </row>
    <row r="196" spans="1:5" ht="25" x14ac:dyDescent="0.35">
      <c r="A196" s="17" t="s">
        <v>174</v>
      </c>
      <c r="B196" s="17" t="s">
        <v>175</v>
      </c>
      <c r="C196" s="17" t="s">
        <v>499</v>
      </c>
      <c r="D196" s="17" t="s">
        <v>480</v>
      </c>
      <c r="E196" s="17" t="s">
        <v>21</v>
      </c>
    </row>
    <row r="197" spans="1:5" x14ac:dyDescent="0.35">
      <c r="A197" s="18" t="s">
        <v>315</v>
      </c>
      <c r="B197" s="18" t="s">
        <v>146</v>
      </c>
      <c r="C197" s="18" t="s">
        <v>500</v>
      </c>
      <c r="D197" s="18" t="s">
        <v>210</v>
      </c>
      <c r="E197" s="18" t="s">
        <v>21</v>
      </c>
    </row>
    <row r="198" spans="1:5" ht="25" x14ac:dyDescent="0.35">
      <c r="A198" s="17" t="s">
        <v>60</v>
      </c>
      <c r="B198" s="17" t="s">
        <v>501</v>
      </c>
      <c r="C198" s="17" t="s">
        <v>502</v>
      </c>
      <c r="D198" s="17" t="s">
        <v>503</v>
      </c>
      <c r="E198" s="17" t="s">
        <v>21</v>
      </c>
    </row>
    <row r="199" spans="1:5" ht="25" x14ac:dyDescent="0.35">
      <c r="A199" s="18" t="s">
        <v>261</v>
      </c>
      <c r="B199" s="18" t="s">
        <v>375</v>
      </c>
      <c r="C199" s="18" t="s">
        <v>504</v>
      </c>
      <c r="D199" s="18" t="s">
        <v>376</v>
      </c>
      <c r="E199" s="18" t="s">
        <v>21</v>
      </c>
    </row>
    <row r="200" spans="1:5" x14ac:dyDescent="0.35">
      <c r="A200" s="17" t="s">
        <v>477</v>
      </c>
      <c r="B200" s="17" t="s">
        <v>505</v>
      </c>
      <c r="C200" s="17" t="s">
        <v>200</v>
      </c>
      <c r="D200" s="17" t="s">
        <v>506</v>
      </c>
      <c r="E200" s="17" t="s">
        <v>10</v>
      </c>
    </row>
    <row r="201" spans="1:5" ht="25" x14ac:dyDescent="0.35">
      <c r="A201" s="18" t="s">
        <v>451</v>
      </c>
      <c r="B201" s="18" t="s">
        <v>482</v>
      </c>
      <c r="C201" s="18" t="s">
        <v>507</v>
      </c>
      <c r="D201" s="18" t="s">
        <v>486</v>
      </c>
      <c r="E201" s="18" t="s">
        <v>21</v>
      </c>
    </row>
    <row r="202" spans="1:5" ht="25" x14ac:dyDescent="0.35">
      <c r="A202" s="17" t="s">
        <v>174</v>
      </c>
      <c r="B202" s="17" t="s">
        <v>175</v>
      </c>
      <c r="C202" s="17" t="s">
        <v>348</v>
      </c>
      <c r="D202" s="17" t="s">
        <v>508</v>
      </c>
      <c r="E202" s="17" t="s">
        <v>21</v>
      </c>
    </row>
    <row r="203" spans="1:5" ht="25" x14ac:dyDescent="0.35">
      <c r="A203" s="18" t="s">
        <v>509</v>
      </c>
      <c r="B203" s="18" t="s">
        <v>510</v>
      </c>
      <c r="C203" s="18" t="s">
        <v>426</v>
      </c>
      <c r="D203" s="18" t="s">
        <v>511</v>
      </c>
      <c r="E203" s="18" t="s">
        <v>10</v>
      </c>
    </row>
    <row r="204" spans="1:5" x14ac:dyDescent="0.35">
      <c r="A204" s="17" t="s">
        <v>400</v>
      </c>
      <c r="B204" s="17" t="s">
        <v>512</v>
      </c>
      <c r="C204" s="17" t="s">
        <v>513</v>
      </c>
      <c r="D204" s="17" t="s">
        <v>514</v>
      </c>
      <c r="E204" s="17" t="s">
        <v>21</v>
      </c>
    </row>
    <row r="205" spans="1:5" x14ac:dyDescent="0.35">
      <c r="A205" s="18" t="s">
        <v>317</v>
      </c>
      <c r="B205" s="18" t="s">
        <v>389</v>
      </c>
      <c r="C205" s="18" t="s">
        <v>426</v>
      </c>
      <c r="D205" s="18" t="s">
        <v>515</v>
      </c>
      <c r="E205" s="18" t="s">
        <v>10</v>
      </c>
    </row>
    <row r="206" spans="1:5" x14ac:dyDescent="0.35">
      <c r="A206" s="17" t="s">
        <v>315</v>
      </c>
      <c r="B206" s="17" t="s">
        <v>101</v>
      </c>
      <c r="C206" s="17" t="s">
        <v>291</v>
      </c>
      <c r="D206" s="17" t="s">
        <v>516</v>
      </c>
      <c r="E206" s="17" t="s">
        <v>10</v>
      </c>
    </row>
    <row r="207" spans="1:5" ht="25" x14ac:dyDescent="0.35">
      <c r="A207" s="18" t="s">
        <v>517</v>
      </c>
      <c r="B207" s="18" t="s">
        <v>518</v>
      </c>
      <c r="C207" s="18" t="s">
        <v>519</v>
      </c>
      <c r="D207" s="18" t="s">
        <v>520</v>
      </c>
      <c r="E207" s="18" t="s">
        <v>10</v>
      </c>
    </row>
    <row r="208" spans="1:5" ht="25" x14ac:dyDescent="0.35">
      <c r="A208" s="17" t="s">
        <v>521</v>
      </c>
      <c r="B208" s="17" t="s">
        <v>522</v>
      </c>
      <c r="C208" s="17" t="s">
        <v>406</v>
      </c>
      <c r="D208" s="17" t="s">
        <v>279</v>
      </c>
      <c r="E208" s="17" t="s">
        <v>21</v>
      </c>
    </row>
    <row r="209" spans="1:5" x14ac:dyDescent="0.35">
      <c r="A209" s="18" t="s">
        <v>523</v>
      </c>
      <c r="B209" s="18" t="s">
        <v>524</v>
      </c>
      <c r="C209" s="18" t="s">
        <v>223</v>
      </c>
      <c r="D209" s="18" t="s">
        <v>525</v>
      </c>
      <c r="E209" s="18" t="s">
        <v>10</v>
      </c>
    </row>
    <row r="210" spans="1:5" ht="25" x14ac:dyDescent="0.35">
      <c r="A210" s="17" t="s">
        <v>451</v>
      </c>
      <c r="B210" s="17" t="s">
        <v>452</v>
      </c>
      <c r="C210" s="17" t="s">
        <v>526</v>
      </c>
      <c r="D210" s="17" t="s">
        <v>527</v>
      </c>
      <c r="E210" s="17" t="s">
        <v>19</v>
      </c>
    </row>
    <row r="211" spans="1:5" ht="25" x14ac:dyDescent="0.35">
      <c r="A211" s="18" t="s">
        <v>451</v>
      </c>
      <c r="B211" s="18" t="s">
        <v>482</v>
      </c>
      <c r="C211" s="18" t="s">
        <v>105</v>
      </c>
      <c r="D211" s="18" t="s">
        <v>369</v>
      </c>
      <c r="E211" s="18" t="s">
        <v>21</v>
      </c>
    </row>
    <row r="212" spans="1:5" ht="25" x14ac:dyDescent="0.35">
      <c r="A212" s="17" t="s">
        <v>528</v>
      </c>
      <c r="B212" s="17" t="s">
        <v>529</v>
      </c>
      <c r="C212" s="17" t="s">
        <v>348</v>
      </c>
      <c r="D212" s="17" t="s">
        <v>530</v>
      </c>
      <c r="E212" s="17" t="s">
        <v>10</v>
      </c>
    </row>
    <row r="213" spans="1:5" ht="25" x14ac:dyDescent="0.35">
      <c r="A213" s="18" t="s">
        <v>528</v>
      </c>
      <c r="B213" s="18" t="s">
        <v>531</v>
      </c>
      <c r="C213" s="18" t="s">
        <v>105</v>
      </c>
      <c r="D213" s="18" t="s">
        <v>532</v>
      </c>
      <c r="E213" s="18" t="s">
        <v>21</v>
      </c>
    </row>
    <row r="214" spans="1:5" x14ac:dyDescent="0.35">
      <c r="A214" s="17" t="s">
        <v>533</v>
      </c>
      <c r="B214" s="17" t="s">
        <v>212</v>
      </c>
      <c r="C214" s="17" t="s">
        <v>534</v>
      </c>
      <c r="D214" s="17" t="s">
        <v>535</v>
      </c>
      <c r="E214" s="17" t="s">
        <v>10</v>
      </c>
    </row>
    <row r="215" spans="1:5" x14ac:dyDescent="0.35">
      <c r="A215" s="18" t="s">
        <v>85</v>
      </c>
      <c r="B215" s="18" t="s">
        <v>86</v>
      </c>
      <c r="C215" s="18" t="s">
        <v>152</v>
      </c>
      <c r="D215" s="18" t="s">
        <v>162</v>
      </c>
      <c r="E215" s="18" t="s">
        <v>21</v>
      </c>
    </row>
    <row r="216" spans="1:5" ht="25" x14ac:dyDescent="0.35">
      <c r="A216" s="17" t="s">
        <v>536</v>
      </c>
      <c r="B216" s="17" t="s">
        <v>537</v>
      </c>
      <c r="C216" s="17" t="s">
        <v>538</v>
      </c>
      <c r="D216" s="17" t="s">
        <v>539</v>
      </c>
      <c r="E216" s="17" t="s">
        <v>19</v>
      </c>
    </row>
    <row r="217" spans="1:5" x14ac:dyDescent="0.35">
      <c r="A217" s="18" t="s">
        <v>540</v>
      </c>
      <c r="B217" s="18" t="s">
        <v>541</v>
      </c>
      <c r="C217" s="18" t="s">
        <v>542</v>
      </c>
      <c r="D217" s="18" t="s">
        <v>543</v>
      </c>
      <c r="E217" s="18" t="s">
        <v>10</v>
      </c>
    </row>
    <row r="218" spans="1:5" x14ac:dyDescent="0.35">
      <c r="A218" s="17" t="s">
        <v>544</v>
      </c>
      <c r="B218" s="17" t="s">
        <v>146</v>
      </c>
      <c r="C218" s="17" t="s">
        <v>545</v>
      </c>
      <c r="D218" s="17" t="s">
        <v>314</v>
      </c>
      <c r="E218" s="17" t="s">
        <v>21</v>
      </c>
    </row>
    <row r="219" spans="1:5" ht="25" x14ac:dyDescent="0.35">
      <c r="A219" s="18" t="s">
        <v>302</v>
      </c>
      <c r="B219" s="18" t="s">
        <v>398</v>
      </c>
      <c r="C219" s="18" t="s">
        <v>546</v>
      </c>
      <c r="D219" s="18" t="s">
        <v>547</v>
      </c>
      <c r="E219" s="18" t="s">
        <v>10</v>
      </c>
    </row>
    <row r="220" spans="1:5" ht="25" x14ac:dyDescent="0.35">
      <c r="A220" s="17" t="s">
        <v>302</v>
      </c>
      <c r="B220" s="17" t="s">
        <v>398</v>
      </c>
      <c r="C220" s="17" t="s">
        <v>548</v>
      </c>
      <c r="D220" s="17" t="s">
        <v>399</v>
      </c>
      <c r="E220" s="17" t="s">
        <v>10</v>
      </c>
    </row>
    <row r="221" spans="1:5" ht="25" x14ac:dyDescent="0.35">
      <c r="A221" s="18" t="s">
        <v>113</v>
      </c>
      <c r="B221" s="18" t="s">
        <v>549</v>
      </c>
      <c r="C221" s="18" t="s">
        <v>304</v>
      </c>
      <c r="D221" s="18" t="s">
        <v>342</v>
      </c>
      <c r="E221" s="18" t="s">
        <v>10</v>
      </c>
    </row>
    <row r="222" spans="1:5" ht="25" x14ac:dyDescent="0.35">
      <c r="A222" s="17" t="s">
        <v>45</v>
      </c>
      <c r="B222" s="17" t="s">
        <v>46</v>
      </c>
      <c r="C222" s="17" t="s">
        <v>145</v>
      </c>
      <c r="D222" s="17" t="s">
        <v>550</v>
      </c>
      <c r="E222" s="17" t="s">
        <v>10</v>
      </c>
    </row>
    <row r="223" spans="1:5" ht="25" x14ac:dyDescent="0.35">
      <c r="A223" s="18" t="s">
        <v>551</v>
      </c>
      <c r="B223" s="18" t="s">
        <v>405</v>
      </c>
      <c r="C223" s="18" t="s">
        <v>552</v>
      </c>
      <c r="D223" s="18" t="s">
        <v>553</v>
      </c>
      <c r="E223" s="18" t="s">
        <v>21</v>
      </c>
    </row>
    <row r="224" spans="1:5" x14ac:dyDescent="0.35">
      <c r="A224" s="17" t="s">
        <v>554</v>
      </c>
      <c r="B224" s="17" t="s">
        <v>555</v>
      </c>
      <c r="C224" s="17" t="s">
        <v>348</v>
      </c>
      <c r="D224" s="17" t="s">
        <v>556</v>
      </c>
      <c r="E224" s="17" t="s">
        <v>21</v>
      </c>
    </row>
    <row r="225" spans="1:5" ht="25" x14ac:dyDescent="0.35">
      <c r="A225" s="18" t="s">
        <v>451</v>
      </c>
      <c r="B225" s="18" t="s">
        <v>482</v>
      </c>
      <c r="C225" s="18" t="s">
        <v>557</v>
      </c>
      <c r="D225" s="18" t="s">
        <v>558</v>
      </c>
      <c r="E225" s="18" t="s">
        <v>21</v>
      </c>
    </row>
    <row r="226" spans="1:5" ht="25" x14ac:dyDescent="0.35">
      <c r="A226" s="17" t="s">
        <v>559</v>
      </c>
      <c r="B226" s="17" t="s">
        <v>560</v>
      </c>
      <c r="C226" s="17" t="s">
        <v>561</v>
      </c>
      <c r="D226" s="17" t="s">
        <v>562</v>
      </c>
      <c r="E226" s="17" t="s">
        <v>10</v>
      </c>
    </row>
    <row r="227" spans="1:5" ht="25" x14ac:dyDescent="0.35">
      <c r="A227" s="18" t="s">
        <v>563</v>
      </c>
      <c r="B227" s="18" t="s">
        <v>564</v>
      </c>
      <c r="C227" s="18" t="s">
        <v>565</v>
      </c>
      <c r="D227" s="18" t="s">
        <v>324</v>
      </c>
      <c r="E227" s="18" t="s">
        <v>21</v>
      </c>
    </row>
    <row r="228" spans="1:5" ht="25" x14ac:dyDescent="0.35">
      <c r="A228" s="17" t="s">
        <v>367</v>
      </c>
      <c r="B228" s="17" t="s">
        <v>370</v>
      </c>
      <c r="C228" s="17" t="s">
        <v>338</v>
      </c>
      <c r="D228" s="17" t="s">
        <v>371</v>
      </c>
      <c r="E228" s="17" t="s">
        <v>19</v>
      </c>
    </row>
    <row r="229" spans="1:5" ht="25" x14ac:dyDescent="0.35">
      <c r="A229" s="18" t="s">
        <v>566</v>
      </c>
      <c r="B229" s="18" t="s">
        <v>567</v>
      </c>
      <c r="C229" s="18" t="s">
        <v>568</v>
      </c>
      <c r="D229" s="18" t="s">
        <v>569</v>
      </c>
      <c r="E229" s="18" t="s">
        <v>21</v>
      </c>
    </row>
    <row r="230" spans="1:5" ht="25" x14ac:dyDescent="0.35">
      <c r="A230" s="17" t="s">
        <v>566</v>
      </c>
      <c r="B230" s="17" t="s">
        <v>199</v>
      </c>
      <c r="C230" s="17" t="s">
        <v>269</v>
      </c>
      <c r="D230" s="17" t="s">
        <v>570</v>
      </c>
      <c r="E230" s="17" t="s">
        <v>10</v>
      </c>
    </row>
    <row r="231" spans="1:5" ht="25" x14ac:dyDescent="0.35">
      <c r="A231" s="18" t="s">
        <v>566</v>
      </c>
      <c r="B231" s="18" t="s">
        <v>567</v>
      </c>
      <c r="C231" s="18" t="s">
        <v>571</v>
      </c>
      <c r="D231" s="18" t="s">
        <v>256</v>
      </c>
      <c r="E231" s="18" t="s">
        <v>21</v>
      </c>
    </row>
    <row r="232" spans="1:5" ht="25" x14ac:dyDescent="0.35">
      <c r="A232" s="17" t="s">
        <v>566</v>
      </c>
      <c r="B232" s="17" t="s">
        <v>199</v>
      </c>
      <c r="C232" s="17" t="s">
        <v>572</v>
      </c>
      <c r="D232" s="17" t="s">
        <v>570</v>
      </c>
      <c r="E232" s="17" t="s">
        <v>10</v>
      </c>
    </row>
    <row r="233" spans="1:5" ht="25" x14ac:dyDescent="0.35">
      <c r="A233" s="18" t="s">
        <v>566</v>
      </c>
      <c r="B233" s="18" t="s">
        <v>199</v>
      </c>
      <c r="C233" s="18" t="s">
        <v>573</v>
      </c>
      <c r="D233" s="18" t="s">
        <v>570</v>
      </c>
      <c r="E233" s="18" t="s">
        <v>10</v>
      </c>
    </row>
    <row r="234" spans="1:5" ht="25" x14ac:dyDescent="0.35">
      <c r="A234" s="17" t="s">
        <v>566</v>
      </c>
      <c r="B234" s="17" t="s">
        <v>567</v>
      </c>
      <c r="C234" s="17" t="s">
        <v>498</v>
      </c>
      <c r="D234" s="17" t="s">
        <v>569</v>
      </c>
      <c r="E234" s="17" t="s">
        <v>21</v>
      </c>
    </row>
    <row r="235" spans="1:5" ht="25" x14ac:dyDescent="0.35">
      <c r="A235" s="18" t="s">
        <v>566</v>
      </c>
      <c r="B235" s="18" t="s">
        <v>199</v>
      </c>
      <c r="C235" s="18" t="s">
        <v>574</v>
      </c>
      <c r="D235" s="18" t="s">
        <v>369</v>
      </c>
      <c r="E235" s="18" t="s">
        <v>10</v>
      </c>
    </row>
    <row r="236" spans="1:5" x14ac:dyDescent="0.35">
      <c r="A236" s="17" t="s">
        <v>575</v>
      </c>
      <c r="B236" s="17" t="s">
        <v>576</v>
      </c>
      <c r="C236" s="17" t="s">
        <v>183</v>
      </c>
      <c r="D236" s="17" t="s">
        <v>577</v>
      </c>
      <c r="E236" s="17" t="s">
        <v>10</v>
      </c>
    </row>
    <row r="237" spans="1:5" x14ac:dyDescent="0.35">
      <c r="A237" s="18" t="s">
        <v>578</v>
      </c>
      <c r="B237" s="18" t="s">
        <v>579</v>
      </c>
      <c r="C237" s="18" t="s">
        <v>300</v>
      </c>
      <c r="D237" s="18" t="s">
        <v>580</v>
      </c>
      <c r="E237" s="18" t="s">
        <v>21</v>
      </c>
    </row>
    <row r="238" spans="1:5" ht="25" x14ac:dyDescent="0.35">
      <c r="A238" s="17" t="s">
        <v>581</v>
      </c>
      <c r="B238" s="17" t="s">
        <v>582</v>
      </c>
      <c r="C238" s="17" t="s">
        <v>444</v>
      </c>
      <c r="D238" s="17" t="s">
        <v>583</v>
      </c>
      <c r="E238" s="17" t="s">
        <v>10</v>
      </c>
    </row>
    <row r="239" spans="1:5" x14ac:dyDescent="0.35">
      <c r="A239" s="18" t="s">
        <v>584</v>
      </c>
      <c r="B239" s="18" t="s">
        <v>585</v>
      </c>
      <c r="C239" s="18" t="s">
        <v>47</v>
      </c>
      <c r="D239" s="18" t="s">
        <v>586</v>
      </c>
      <c r="E239" s="18" t="s">
        <v>10</v>
      </c>
    </row>
    <row r="240" spans="1:5" x14ac:dyDescent="0.35">
      <c r="A240" s="17" t="s">
        <v>587</v>
      </c>
      <c r="B240" s="17" t="s">
        <v>588</v>
      </c>
      <c r="C240" s="17" t="s">
        <v>589</v>
      </c>
      <c r="D240" s="17" t="s">
        <v>530</v>
      </c>
      <c r="E240" s="17" t="s">
        <v>10</v>
      </c>
    </row>
    <row r="241" spans="1:5" ht="25" x14ac:dyDescent="0.35">
      <c r="A241" s="18" t="s">
        <v>181</v>
      </c>
      <c r="B241" s="18" t="s">
        <v>590</v>
      </c>
      <c r="C241" s="18" t="s">
        <v>147</v>
      </c>
      <c r="D241" s="18" t="s">
        <v>591</v>
      </c>
      <c r="E241" s="18" t="s">
        <v>10</v>
      </c>
    </row>
    <row r="242" spans="1:5" x14ac:dyDescent="0.35">
      <c r="A242" s="17" t="s">
        <v>592</v>
      </c>
      <c r="B242" s="17" t="s">
        <v>593</v>
      </c>
      <c r="C242" s="17" t="s">
        <v>255</v>
      </c>
      <c r="D242" s="17" t="s">
        <v>594</v>
      </c>
      <c r="E242" s="17" t="s">
        <v>21</v>
      </c>
    </row>
    <row r="243" spans="1:5" x14ac:dyDescent="0.35">
      <c r="A243" s="18" t="s">
        <v>592</v>
      </c>
      <c r="B243" s="18" t="s">
        <v>593</v>
      </c>
      <c r="C243" s="18" t="s">
        <v>338</v>
      </c>
      <c r="D243" s="18" t="s">
        <v>594</v>
      </c>
      <c r="E243" s="18" t="s">
        <v>21</v>
      </c>
    </row>
    <row r="244" spans="1:5" x14ac:dyDescent="0.35">
      <c r="A244" s="17" t="s">
        <v>400</v>
      </c>
      <c r="B244" s="17" t="s">
        <v>401</v>
      </c>
      <c r="C244" s="17" t="s">
        <v>40</v>
      </c>
      <c r="D244" s="17" t="s">
        <v>595</v>
      </c>
      <c r="E244" s="17" t="s">
        <v>10</v>
      </c>
    </row>
    <row r="245" spans="1:5" ht="25" x14ac:dyDescent="0.35">
      <c r="A245" s="18" t="s">
        <v>596</v>
      </c>
      <c r="B245" s="18" t="s">
        <v>597</v>
      </c>
      <c r="C245" s="18" t="s">
        <v>359</v>
      </c>
      <c r="D245" s="18" t="s">
        <v>598</v>
      </c>
      <c r="E245" s="18" t="s">
        <v>19</v>
      </c>
    </row>
    <row r="246" spans="1:5" x14ac:dyDescent="0.35">
      <c r="A246" s="17" t="s">
        <v>400</v>
      </c>
      <c r="B246" s="17" t="s">
        <v>512</v>
      </c>
      <c r="C246" s="17" t="s">
        <v>394</v>
      </c>
      <c r="D246" s="17" t="s">
        <v>599</v>
      </c>
      <c r="E246" s="17" t="s">
        <v>21</v>
      </c>
    </row>
    <row r="247" spans="1:5" x14ac:dyDescent="0.35">
      <c r="A247" s="18" t="s">
        <v>600</v>
      </c>
      <c r="B247" s="18" t="s">
        <v>601</v>
      </c>
      <c r="C247" s="18" t="s">
        <v>69</v>
      </c>
      <c r="D247" s="18" t="s">
        <v>602</v>
      </c>
      <c r="E247" s="18" t="s">
        <v>10</v>
      </c>
    </row>
    <row r="248" spans="1:5" x14ac:dyDescent="0.35">
      <c r="A248" s="17" t="s">
        <v>533</v>
      </c>
      <c r="B248" s="17" t="s">
        <v>212</v>
      </c>
      <c r="C248" s="17" t="s">
        <v>603</v>
      </c>
      <c r="D248" s="17" t="s">
        <v>604</v>
      </c>
      <c r="E248" s="17" t="s">
        <v>10</v>
      </c>
    </row>
    <row r="249" spans="1:5" ht="25" x14ac:dyDescent="0.35">
      <c r="A249" s="18" t="s">
        <v>451</v>
      </c>
      <c r="B249" s="18" t="s">
        <v>452</v>
      </c>
      <c r="C249" s="18" t="s">
        <v>143</v>
      </c>
      <c r="D249" s="18" t="s">
        <v>605</v>
      </c>
      <c r="E249" s="18" t="s">
        <v>19</v>
      </c>
    </row>
    <row r="250" spans="1:5" ht="25" x14ac:dyDescent="0.35">
      <c r="A250" s="17" t="s">
        <v>451</v>
      </c>
      <c r="B250" s="17" t="s">
        <v>452</v>
      </c>
      <c r="C250" s="17" t="s">
        <v>606</v>
      </c>
      <c r="D250" s="17" t="s">
        <v>605</v>
      </c>
      <c r="E250" s="17" t="s">
        <v>19</v>
      </c>
    </row>
    <row r="251" spans="1:5" x14ac:dyDescent="0.35">
      <c r="A251" s="18" t="s">
        <v>404</v>
      </c>
      <c r="B251" s="18" t="s">
        <v>57</v>
      </c>
      <c r="C251" s="18" t="s">
        <v>607</v>
      </c>
      <c r="D251" s="18" t="s">
        <v>608</v>
      </c>
      <c r="E251" s="18" t="s">
        <v>10</v>
      </c>
    </row>
    <row r="252" spans="1:5" ht="25" x14ac:dyDescent="0.35">
      <c r="A252" s="17" t="s">
        <v>302</v>
      </c>
      <c r="B252" s="17" t="s">
        <v>303</v>
      </c>
      <c r="C252" s="17" t="s">
        <v>304</v>
      </c>
      <c r="D252" s="17" t="s">
        <v>324</v>
      </c>
      <c r="E252" s="17" t="s">
        <v>21</v>
      </c>
    </row>
    <row r="253" spans="1:5" x14ac:dyDescent="0.35">
      <c r="A253" s="18" t="s">
        <v>98</v>
      </c>
      <c r="B253" s="18" t="s">
        <v>104</v>
      </c>
      <c r="C253" s="18" t="s">
        <v>304</v>
      </c>
      <c r="D253" s="18" t="s">
        <v>609</v>
      </c>
      <c r="E253" s="18" t="s">
        <v>21</v>
      </c>
    </row>
    <row r="254" spans="1:5" x14ac:dyDescent="0.35">
      <c r="A254" s="17" t="s">
        <v>98</v>
      </c>
      <c r="B254" s="17" t="s">
        <v>39</v>
      </c>
      <c r="C254" s="17" t="s">
        <v>479</v>
      </c>
      <c r="D254" s="17" t="s">
        <v>610</v>
      </c>
      <c r="E254" s="17" t="s">
        <v>10</v>
      </c>
    </row>
    <row r="255" spans="1:5" ht="25" x14ac:dyDescent="0.35">
      <c r="A255" s="18" t="s">
        <v>611</v>
      </c>
      <c r="B255" s="18" t="s">
        <v>398</v>
      </c>
      <c r="C255" s="18" t="s">
        <v>534</v>
      </c>
      <c r="D255" s="18" t="s">
        <v>612</v>
      </c>
      <c r="E255" s="18" t="s">
        <v>10</v>
      </c>
    </row>
    <row r="256" spans="1:5" x14ac:dyDescent="0.35">
      <c r="A256" s="17" t="s">
        <v>613</v>
      </c>
      <c r="B256" s="17" t="s">
        <v>614</v>
      </c>
      <c r="C256" s="17" t="s">
        <v>66</v>
      </c>
      <c r="D256" s="17" t="s">
        <v>615</v>
      </c>
      <c r="E256" s="17" t="s">
        <v>19</v>
      </c>
    </row>
    <row r="257" spans="1:5" ht="25" x14ac:dyDescent="0.35">
      <c r="A257" s="18" t="s">
        <v>60</v>
      </c>
      <c r="B257" s="18" t="s">
        <v>61</v>
      </c>
      <c r="C257" s="18" t="s">
        <v>616</v>
      </c>
      <c r="D257" s="18" t="s">
        <v>556</v>
      </c>
      <c r="E257" s="18" t="s">
        <v>10</v>
      </c>
    </row>
    <row r="258" spans="1:5" ht="25" x14ac:dyDescent="0.35">
      <c r="A258" s="17" t="s">
        <v>617</v>
      </c>
      <c r="B258" s="17" t="s">
        <v>618</v>
      </c>
      <c r="C258" s="17" t="s">
        <v>176</v>
      </c>
      <c r="D258" s="17" t="s">
        <v>619</v>
      </c>
      <c r="E258" s="17" t="s">
        <v>10</v>
      </c>
    </row>
    <row r="259" spans="1:5" x14ac:dyDescent="0.35">
      <c r="A259" s="18" t="s">
        <v>620</v>
      </c>
      <c r="B259" s="18" t="s">
        <v>191</v>
      </c>
      <c r="C259" s="18" t="s">
        <v>192</v>
      </c>
      <c r="D259" s="18" t="s">
        <v>106</v>
      </c>
      <c r="E259" s="18" t="s">
        <v>21</v>
      </c>
    </row>
    <row r="260" spans="1:5" x14ac:dyDescent="0.35">
      <c r="A260" s="17" t="s">
        <v>329</v>
      </c>
      <c r="B260" s="17" t="s">
        <v>191</v>
      </c>
      <c r="C260" s="17" t="s">
        <v>66</v>
      </c>
      <c r="D260" s="17" t="s">
        <v>322</v>
      </c>
      <c r="E260" s="17" t="s">
        <v>21</v>
      </c>
    </row>
    <row r="261" spans="1:5" x14ac:dyDescent="0.35">
      <c r="A261" s="18" t="s">
        <v>93</v>
      </c>
      <c r="B261" s="18" t="s">
        <v>39</v>
      </c>
      <c r="C261" s="18" t="s">
        <v>621</v>
      </c>
      <c r="D261" s="18" t="s">
        <v>96</v>
      </c>
      <c r="E261" s="18" t="s">
        <v>10</v>
      </c>
    </row>
    <row r="262" spans="1:5" x14ac:dyDescent="0.35">
      <c r="A262" s="17" t="s">
        <v>329</v>
      </c>
      <c r="B262" s="17" t="s">
        <v>94</v>
      </c>
      <c r="C262" s="17" t="s">
        <v>286</v>
      </c>
      <c r="D262" s="17" t="s">
        <v>77</v>
      </c>
      <c r="E262" s="17" t="s">
        <v>10</v>
      </c>
    </row>
    <row r="263" spans="1:5" ht="25" x14ac:dyDescent="0.35">
      <c r="A263" s="18" t="s">
        <v>622</v>
      </c>
      <c r="B263" s="18" t="s">
        <v>590</v>
      </c>
      <c r="C263" s="18" t="s">
        <v>623</v>
      </c>
      <c r="D263" s="18" t="s">
        <v>624</v>
      </c>
      <c r="E263" s="18" t="s">
        <v>10</v>
      </c>
    </row>
    <row r="264" spans="1:5" x14ac:dyDescent="0.35">
      <c r="A264" s="17" t="s">
        <v>275</v>
      </c>
      <c r="B264" s="17" t="s">
        <v>625</v>
      </c>
      <c r="C264" s="17" t="s">
        <v>259</v>
      </c>
      <c r="D264" s="17" t="s">
        <v>602</v>
      </c>
      <c r="E264" s="17" t="s">
        <v>10</v>
      </c>
    </row>
    <row r="265" spans="1:5" ht="25" x14ac:dyDescent="0.35">
      <c r="A265" s="18" t="s">
        <v>626</v>
      </c>
      <c r="B265" s="18" t="s">
        <v>579</v>
      </c>
      <c r="C265" s="18" t="s">
        <v>282</v>
      </c>
      <c r="D265" s="18" t="s">
        <v>386</v>
      </c>
      <c r="E265" s="18" t="s">
        <v>21</v>
      </c>
    </row>
    <row r="266" spans="1:5" ht="25" x14ac:dyDescent="0.35">
      <c r="A266" s="17" t="s">
        <v>154</v>
      </c>
      <c r="B266" s="17" t="s">
        <v>295</v>
      </c>
      <c r="C266" s="17" t="s">
        <v>286</v>
      </c>
      <c r="D266" s="17" t="s">
        <v>627</v>
      </c>
      <c r="E266" s="17" t="s">
        <v>21</v>
      </c>
    </row>
    <row r="267" spans="1:5" ht="25" x14ac:dyDescent="0.35">
      <c r="A267" s="18" t="s">
        <v>628</v>
      </c>
      <c r="B267" s="18" t="s">
        <v>541</v>
      </c>
      <c r="C267" s="18" t="s">
        <v>164</v>
      </c>
      <c r="D267" s="18" t="s">
        <v>297</v>
      </c>
      <c r="E267" s="18" t="s">
        <v>10</v>
      </c>
    </row>
    <row r="268" spans="1:5" ht="25" x14ac:dyDescent="0.35">
      <c r="A268" s="17" t="s">
        <v>45</v>
      </c>
      <c r="B268" s="17" t="s">
        <v>46</v>
      </c>
      <c r="C268" s="17" t="s">
        <v>40</v>
      </c>
      <c r="D268" s="17" t="s">
        <v>550</v>
      </c>
      <c r="E268" s="17" t="s">
        <v>10</v>
      </c>
    </row>
    <row r="269" spans="1:5" ht="25" x14ac:dyDescent="0.35">
      <c r="A269" s="18" t="s">
        <v>45</v>
      </c>
      <c r="B269" s="18" t="s">
        <v>68</v>
      </c>
      <c r="C269" s="18" t="s">
        <v>475</v>
      </c>
      <c r="D269" s="18" t="s">
        <v>629</v>
      </c>
      <c r="E269" s="18" t="s">
        <v>24</v>
      </c>
    </row>
    <row r="270" spans="1:5" x14ac:dyDescent="0.35">
      <c r="A270" s="17" t="s">
        <v>630</v>
      </c>
      <c r="B270" s="17" t="s">
        <v>46</v>
      </c>
      <c r="C270" s="17" t="s">
        <v>145</v>
      </c>
      <c r="D270" s="17" t="s">
        <v>631</v>
      </c>
      <c r="E270" s="17" t="s">
        <v>10</v>
      </c>
    </row>
    <row r="271" spans="1:5" x14ac:dyDescent="0.35">
      <c r="A271" s="18" t="s">
        <v>632</v>
      </c>
      <c r="B271" s="18" t="s">
        <v>209</v>
      </c>
      <c r="C271" s="18" t="s">
        <v>204</v>
      </c>
      <c r="D271" s="18" t="s">
        <v>633</v>
      </c>
      <c r="E271" s="18" t="s">
        <v>21</v>
      </c>
    </row>
    <row r="272" spans="1:5" x14ac:dyDescent="0.35">
      <c r="A272" s="17" t="s">
        <v>634</v>
      </c>
      <c r="B272" s="17" t="s">
        <v>635</v>
      </c>
      <c r="C272" s="17" t="s">
        <v>636</v>
      </c>
      <c r="D272" s="17" t="s">
        <v>637</v>
      </c>
      <c r="E272" s="17" t="s">
        <v>10</v>
      </c>
    </row>
    <row r="273" spans="1:5" x14ac:dyDescent="0.35">
      <c r="A273" s="18" t="s">
        <v>638</v>
      </c>
      <c r="B273" s="18" t="s">
        <v>639</v>
      </c>
      <c r="C273" s="18" t="s">
        <v>640</v>
      </c>
      <c r="D273" s="18" t="s">
        <v>641</v>
      </c>
      <c r="E273" s="18" t="s">
        <v>10</v>
      </c>
    </row>
    <row r="274" spans="1:5" ht="25" x14ac:dyDescent="0.35">
      <c r="A274" s="17" t="s">
        <v>274</v>
      </c>
      <c r="B274" s="17" t="s">
        <v>642</v>
      </c>
      <c r="C274" s="17" t="s">
        <v>643</v>
      </c>
      <c r="D274" s="17" t="s">
        <v>644</v>
      </c>
      <c r="E274" s="17" t="s">
        <v>10</v>
      </c>
    </row>
    <row r="275" spans="1:5" ht="25" x14ac:dyDescent="0.35">
      <c r="A275" s="18" t="s">
        <v>517</v>
      </c>
      <c r="B275" s="18" t="s">
        <v>645</v>
      </c>
      <c r="C275" s="18" t="s">
        <v>646</v>
      </c>
      <c r="D275" s="18" t="s">
        <v>127</v>
      </c>
      <c r="E275" s="18" t="s">
        <v>21</v>
      </c>
    </row>
    <row r="276" spans="1:5" ht="25" x14ac:dyDescent="0.35">
      <c r="A276" s="17" t="s">
        <v>45</v>
      </c>
      <c r="B276" s="17" t="s">
        <v>46</v>
      </c>
      <c r="C276" s="17" t="s">
        <v>47</v>
      </c>
      <c r="D276" s="17" t="s">
        <v>431</v>
      </c>
      <c r="E276" s="17" t="s">
        <v>10</v>
      </c>
    </row>
    <row r="277" spans="1:5" ht="25" x14ac:dyDescent="0.35">
      <c r="A277" s="18" t="s">
        <v>274</v>
      </c>
      <c r="B277" s="18" t="s">
        <v>497</v>
      </c>
      <c r="C277" s="18" t="s">
        <v>647</v>
      </c>
      <c r="D277" s="18" t="s">
        <v>496</v>
      </c>
      <c r="E277" s="18" t="s">
        <v>21</v>
      </c>
    </row>
    <row r="278" spans="1:5" x14ac:dyDescent="0.35">
      <c r="A278" s="17" t="s">
        <v>632</v>
      </c>
      <c r="B278" s="17" t="s">
        <v>68</v>
      </c>
      <c r="C278" s="17" t="s">
        <v>130</v>
      </c>
      <c r="D278" s="17" t="s">
        <v>648</v>
      </c>
      <c r="E278" s="17" t="s">
        <v>24</v>
      </c>
    </row>
    <row r="279" spans="1:5" x14ac:dyDescent="0.35">
      <c r="A279" s="18" t="s">
        <v>649</v>
      </c>
      <c r="B279" s="18" t="s">
        <v>457</v>
      </c>
      <c r="C279" s="18" t="s">
        <v>650</v>
      </c>
      <c r="D279" s="18" t="s">
        <v>651</v>
      </c>
      <c r="E279" s="18" t="s">
        <v>21</v>
      </c>
    </row>
    <row r="280" spans="1:5" ht="25" x14ac:dyDescent="0.35">
      <c r="A280" s="17" t="s">
        <v>652</v>
      </c>
      <c r="B280" s="17" t="s">
        <v>160</v>
      </c>
      <c r="C280" s="17" t="s">
        <v>204</v>
      </c>
      <c r="D280" s="17" t="s">
        <v>653</v>
      </c>
      <c r="E280" s="17" t="s">
        <v>10</v>
      </c>
    </row>
    <row r="281" spans="1:5" x14ac:dyDescent="0.35">
      <c r="A281" s="18" t="s">
        <v>654</v>
      </c>
      <c r="B281" s="18" t="s">
        <v>655</v>
      </c>
      <c r="C281" s="18" t="s">
        <v>656</v>
      </c>
      <c r="D281" s="18" t="s">
        <v>190</v>
      </c>
      <c r="E281" s="18" t="s">
        <v>10</v>
      </c>
    </row>
    <row r="282" spans="1:5" x14ac:dyDescent="0.35">
      <c r="A282" s="17" t="s">
        <v>657</v>
      </c>
      <c r="B282" s="17" t="s">
        <v>655</v>
      </c>
      <c r="C282" s="17" t="s">
        <v>656</v>
      </c>
      <c r="D282" s="17" t="s">
        <v>658</v>
      </c>
      <c r="E282" s="17" t="s">
        <v>10</v>
      </c>
    </row>
    <row r="283" spans="1:5" ht="25" x14ac:dyDescent="0.35">
      <c r="A283" s="18" t="s">
        <v>659</v>
      </c>
      <c r="B283" s="18" t="s">
        <v>660</v>
      </c>
      <c r="C283" s="18" t="s">
        <v>661</v>
      </c>
      <c r="D283" s="18" t="s">
        <v>439</v>
      </c>
      <c r="E283" s="18" t="s">
        <v>10</v>
      </c>
    </row>
    <row r="284" spans="1:5" ht="25" x14ac:dyDescent="0.35">
      <c r="A284" s="17" t="s">
        <v>213</v>
      </c>
      <c r="B284" s="17" t="s">
        <v>214</v>
      </c>
      <c r="C284" s="17" t="s">
        <v>176</v>
      </c>
      <c r="D284" s="17" t="s">
        <v>662</v>
      </c>
      <c r="E284" s="17" t="s">
        <v>21</v>
      </c>
    </row>
    <row r="285" spans="1:5" x14ac:dyDescent="0.35">
      <c r="A285" s="18" t="s">
        <v>663</v>
      </c>
      <c r="B285" s="18" t="s">
        <v>160</v>
      </c>
      <c r="C285" s="18" t="s">
        <v>83</v>
      </c>
      <c r="D285" s="18" t="s">
        <v>664</v>
      </c>
      <c r="E285" s="18" t="s">
        <v>10</v>
      </c>
    </row>
    <row r="286" spans="1:5" ht="25" x14ac:dyDescent="0.35">
      <c r="A286" s="17" t="s">
        <v>665</v>
      </c>
      <c r="B286" s="17" t="s">
        <v>666</v>
      </c>
      <c r="C286" s="17" t="s">
        <v>91</v>
      </c>
      <c r="D286" s="17" t="s">
        <v>165</v>
      </c>
      <c r="E286" s="17" t="s">
        <v>21</v>
      </c>
    </row>
    <row r="287" spans="1:5" ht="25" x14ac:dyDescent="0.35">
      <c r="A287" s="18" t="s">
        <v>412</v>
      </c>
      <c r="B287" s="18" t="s">
        <v>667</v>
      </c>
      <c r="C287" s="18" t="s">
        <v>217</v>
      </c>
      <c r="D287" s="18" t="s">
        <v>668</v>
      </c>
      <c r="E287" s="18" t="s">
        <v>21</v>
      </c>
    </row>
    <row r="288" spans="1:5" x14ac:dyDescent="0.35">
      <c r="A288" s="17" t="s">
        <v>669</v>
      </c>
      <c r="B288" s="17" t="s">
        <v>142</v>
      </c>
      <c r="C288" s="17" t="s">
        <v>670</v>
      </c>
      <c r="D288" s="17" t="s">
        <v>671</v>
      </c>
      <c r="E288" s="17" t="s">
        <v>21</v>
      </c>
    </row>
    <row r="289" spans="1:5" x14ac:dyDescent="0.35">
      <c r="A289" s="18" t="s">
        <v>100</v>
      </c>
      <c r="B289" s="18" t="s">
        <v>101</v>
      </c>
      <c r="C289" s="18" t="s">
        <v>221</v>
      </c>
      <c r="D289" s="18" t="s">
        <v>672</v>
      </c>
      <c r="E289" s="18" t="s">
        <v>10</v>
      </c>
    </row>
    <row r="290" spans="1:5" ht="25" x14ac:dyDescent="0.35">
      <c r="A290" s="17" t="s">
        <v>673</v>
      </c>
      <c r="B290" s="17" t="s">
        <v>674</v>
      </c>
      <c r="C290" s="17" t="s">
        <v>40</v>
      </c>
      <c r="D290" s="17" t="s">
        <v>70</v>
      </c>
      <c r="E290" s="17" t="s">
        <v>10</v>
      </c>
    </row>
    <row r="291" spans="1:5" x14ac:dyDescent="0.35">
      <c r="A291" s="18" t="s">
        <v>275</v>
      </c>
      <c r="B291" s="18" t="s">
        <v>675</v>
      </c>
      <c r="C291" s="18" t="s">
        <v>102</v>
      </c>
      <c r="D291" s="18" t="s">
        <v>676</v>
      </c>
      <c r="E291" s="18" t="s">
        <v>10</v>
      </c>
    </row>
    <row r="292" spans="1:5" x14ac:dyDescent="0.35">
      <c r="A292" s="17" t="s">
        <v>677</v>
      </c>
      <c r="B292" s="17" t="s">
        <v>678</v>
      </c>
      <c r="C292" s="17" t="s">
        <v>145</v>
      </c>
      <c r="D292" s="17" t="s">
        <v>602</v>
      </c>
      <c r="E292" s="17" t="s">
        <v>10</v>
      </c>
    </row>
    <row r="293" spans="1:5" ht="25" x14ac:dyDescent="0.35">
      <c r="A293" s="18" t="s">
        <v>622</v>
      </c>
      <c r="B293" s="18" t="s">
        <v>590</v>
      </c>
      <c r="C293" s="18" t="s">
        <v>263</v>
      </c>
      <c r="D293" s="18" t="s">
        <v>679</v>
      </c>
      <c r="E293" s="18" t="s">
        <v>10</v>
      </c>
    </row>
    <row r="294" spans="1:5" ht="25" x14ac:dyDescent="0.35">
      <c r="A294" s="17" t="s">
        <v>154</v>
      </c>
      <c r="B294" s="17" t="s">
        <v>155</v>
      </c>
      <c r="C294" s="17" t="s">
        <v>221</v>
      </c>
      <c r="D294" s="17" t="s">
        <v>680</v>
      </c>
      <c r="E294" s="17" t="s">
        <v>10</v>
      </c>
    </row>
    <row r="295" spans="1:5" x14ac:dyDescent="0.35">
      <c r="A295" s="18" t="s">
        <v>681</v>
      </c>
      <c r="B295" s="18" t="s">
        <v>682</v>
      </c>
      <c r="C295" s="18" t="s">
        <v>200</v>
      </c>
      <c r="D295" s="18" t="s">
        <v>683</v>
      </c>
      <c r="E295" s="18" t="s">
        <v>26</v>
      </c>
    </row>
    <row r="296" spans="1:5" ht="25" x14ac:dyDescent="0.35">
      <c r="A296" s="17" t="s">
        <v>195</v>
      </c>
      <c r="B296" s="17" t="s">
        <v>684</v>
      </c>
      <c r="C296" s="17" t="s">
        <v>406</v>
      </c>
      <c r="D296" s="17" t="s">
        <v>685</v>
      </c>
      <c r="E296" s="17" t="s">
        <v>10</v>
      </c>
    </row>
    <row r="297" spans="1:5" x14ac:dyDescent="0.35">
      <c r="A297" s="18" t="s">
        <v>686</v>
      </c>
      <c r="B297" s="18" t="s">
        <v>293</v>
      </c>
      <c r="C297" s="18" t="s">
        <v>513</v>
      </c>
      <c r="D297" s="18" t="s">
        <v>595</v>
      </c>
      <c r="E297" s="18" t="s">
        <v>10</v>
      </c>
    </row>
    <row r="298" spans="1:5" ht="25" x14ac:dyDescent="0.35">
      <c r="A298" s="17" t="s">
        <v>195</v>
      </c>
      <c r="B298" s="17" t="s">
        <v>684</v>
      </c>
      <c r="C298" s="17" t="s">
        <v>502</v>
      </c>
      <c r="D298" s="17" t="s">
        <v>685</v>
      </c>
      <c r="E298" s="17" t="s">
        <v>10</v>
      </c>
    </row>
    <row r="299" spans="1:5" ht="25" x14ac:dyDescent="0.35">
      <c r="A299" s="18" t="s">
        <v>412</v>
      </c>
      <c r="B299" s="18" t="s">
        <v>687</v>
      </c>
      <c r="C299" s="18" t="s">
        <v>688</v>
      </c>
      <c r="D299" s="18" t="s">
        <v>689</v>
      </c>
      <c r="E299" s="18" t="s">
        <v>10</v>
      </c>
    </row>
    <row r="300" spans="1:5" x14ac:dyDescent="0.35">
      <c r="A300" s="17" t="s">
        <v>690</v>
      </c>
      <c r="B300" s="17" t="s">
        <v>691</v>
      </c>
      <c r="C300" s="17" t="s">
        <v>647</v>
      </c>
      <c r="D300" s="17" t="s">
        <v>496</v>
      </c>
      <c r="E300" s="17" t="s">
        <v>21</v>
      </c>
    </row>
    <row r="301" spans="1:5" ht="25" x14ac:dyDescent="0.35">
      <c r="A301" s="18" t="s">
        <v>566</v>
      </c>
      <c r="B301" s="18" t="s">
        <v>199</v>
      </c>
      <c r="C301" s="18" t="s">
        <v>692</v>
      </c>
      <c r="D301" s="18" t="s">
        <v>190</v>
      </c>
      <c r="E301" s="18" t="s">
        <v>10</v>
      </c>
    </row>
    <row r="302" spans="1:5" x14ac:dyDescent="0.35">
      <c r="A302" s="17" t="s">
        <v>275</v>
      </c>
      <c r="B302" s="17" t="s">
        <v>693</v>
      </c>
      <c r="C302" s="17" t="s">
        <v>402</v>
      </c>
      <c r="D302" s="17" t="s">
        <v>70</v>
      </c>
      <c r="E302" s="17" t="s">
        <v>10</v>
      </c>
    </row>
    <row r="303" spans="1:5" x14ac:dyDescent="0.35">
      <c r="A303" s="18" t="s">
        <v>275</v>
      </c>
      <c r="B303" s="18" t="s">
        <v>693</v>
      </c>
      <c r="C303" s="18" t="s">
        <v>694</v>
      </c>
      <c r="D303" s="18" t="s">
        <v>530</v>
      </c>
      <c r="E303" s="18" t="s">
        <v>10</v>
      </c>
    </row>
    <row r="304" spans="1:5" x14ac:dyDescent="0.35">
      <c r="A304" s="17" t="s">
        <v>695</v>
      </c>
      <c r="B304" s="17" t="s">
        <v>410</v>
      </c>
      <c r="C304" s="17" t="s">
        <v>291</v>
      </c>
      <c r="D304" s="17" t="s">
        <v>696</v>
      </c>
      <c r="E304" s="17" t="s">
        <v>21</v>
      </c>
    </row>
    <row r="305" spans="1:5" x14ac:dyDescent="0.35">
      <c r="A305" s="18" t="s">
        <v>697</v>
      </c>
      <c r="B305" s="18" t="s">
        <v>160</v>
      </c>
      <c r="C305" s="18" t="s">
        <v>115</v>
      </c>
      <c r="D305" s="18" t="s">
        <v>698</v>
      </c>
      <c r="E305" s="18" t="s">
        <v>10</v>
      </c>
    </row>
    <row r="306" spans="1:5" x14ac:dyDescent="0.35">
      <c r="A306" s="17" t="s">
        <v>81</v>
      </c>
      <c r="B306" s="17" t="s">
        <v>82</v>
      </c>
      <c r="C306" s="17" t="s">
        <v>699</v>
      </c>
      <c r="D306" s="17" t="s">
        <v>700</v>
      </c>
      <c r="E306" s="17" t="s">
        <v>21</v>
      </c>
    </row>
    <row r="307" spans="1:5" x14ac:dyDescent="0.35">
      <c r="A307" s="18" t="s">
        <v>701</v>
      </c>
      <c r="B307" s="18" t="s">
        <v>702</v>
      </c>
      <c r="C307" s="18" t="s">
        <v>703</v>
      </c>
      <c r="D307" s="18" t="s">
        <v>609</v>
      </c>
      <c r="E307" s="18" t="s">
        <v>10</v>
      </c>
    </row>
    <row r="308" spans="1:5" x14ac:dyDescent="0.35">
      <c r="A308" s="17" t="s">
        <v>275</v>
      </c>
      <c r="B308" s="17" t="s">
        <v>704</v>
      </c>
      <c r="C308" s="17" t="s">
        <v>109</v>
      </c>
      <c r="D308" s="17" t="s">
        <v>44</v>
      </c>
      <c r="E308" s="17" t="s">
        <v>10</v>
      </c>
    </row>
    <row r="309" spans="1:5" ht="25" x14ac:dyDescent="0.35">
      <c r="A309" s="18" t="s">
        <v>154</v>
      </c>
      <c r="B309" s="18" t="s">
        <v>155</v>
      </c>
      <c r="C309" s="18" t="s">
        <v>217</v>
      </c>
      <c r="D309" s="18" t="s">
        <v>156</v>
      </c>
      <c r="E309" s="18" t="s">
        <v>10</v>
      </c>
    </row>
    <row r="310" spans="1:5" ht="25" x14ac:dyDescent="0.35">
      <c r="A310" s="17" t="s">
        <v>705</v>
      </c>
      <c r="B310" s="17" t="s">
        <v>491</v>
      </c>
      <c r="C310" s="17" t="s">
        <v>326</v>
      </c>
      <c r="D310" s="17" t="s">
        <v>210</v>
      </c>
      <c r="E310" s="17" t="s">
        <v>21</v>
      </c>
    </row>
    <row r="311" spans="1:5" x14ac:dyDescent="0.35">
      <c r="A311" s="18" t="s">
        <v>416</v>
      </c>
      <c r="B311" s="18" t="s">
        <v>497</v>
      </c>
      <c r="C311" s="18" t="s">
        <v>706</v>
      </c>
      <c r="D311" s="18" t="s">
        <v>169</v>
      </c>
      <c r="E311" s="18" t="s">
        <v>21</v>
      </c>
    </row>
    <row r="312" spans="1:5" ht="25" x14ac:dyDescent="0.35">
      <c r="A312" s="17" t="s">
        <v>566</v>
      </c>
      <c r="B312" s="17" t="s">
        <v>567</v>
      </c>
      <c r="C312" s="17" t="s">
        <v>707</v>
      </c>
      <c r="D312" s="17" t="s">
        <v>708</v>
      </c>
      <c r="E312" s="17" t="s">
        <v>21</v>
      </c>
    </row>
    <row r="313" spans="1:5" x14ac:dyDescent="0.35">
      <c r="A313" s="18" t="s">
        <v>275</v>
      </c>
      <c r="B313" s="18" t="s">
        <v>709</v>
      </c>
      <c r="C313" s="18" t="s">
        <v>710</v>
      </c>
      <c r="D313" s="18" t="s">
        <v>711</v>
      </c>
      <c r="E313" s="18" t="s">
        <v>10</v>
      </c>
    </row>
    <row r="314" spans="1:5" x14ac:dyDescent="0.35">
      <c r="A314" s="17" t="s">
        <v>216</v>
      </c>
      <c r="B314" s="17" t="s">
        <v>214</v>
      </c>
      <c r="C314" s="17" t="s">
        <v>712</v>
      </c>
      <c r="D314" s="17" t="s">
        <v>713</v>
      </c>
      <c r="E314" s="17" t="s">
        <v>21</v>
      </c>
    </row>
    <row r="315" spans="1:5" ht="25" x14ac:dyDescent="0.35">
      <c r="A315" s="18" t="s">
        <v>714</v>
      </c>
      <c r="B315" s="18" t="s">
        <v>715</v>
      </c>
      <c r="C315" s="18" t="s">
        <v>151</v>
      </c>
      <c r="D315" s="18" t="s">
        <v>716</v>
      </c>
      <c r="E315" s="18" t="s">
        <v>10</v>
      </c>
    </row>
    <row r="316" spans="1:5" ht="25" x14ac:dyDescent="0.35">
      <c r="A316" s="17" t="s">
        <v>154</v>
      </c>
      <c r="B316" s="17" t="s">
        <v>155</v>
      </c>
      <c r="C316" s="17" t="s">
        <v>717</v>
      </c>
      <c r="D316" s="17" t="s">
        <v>680</v>
      </c>
      <c r="E316" s="17" t="s">
        <v>10</v>
      </c>
    </row>
    <row r="317" spans="1:5" x14ac:dyDescent="0.35">
      <c r="A317" s="18" t="s">
        <v>718</v>
      </c>
      <c r="B317" s="18" t="s">
        <v>719</v>
      </c>
      <c r="C317" s="18" t="s">
        <v>105</v>
      </c>
      <c r="D317" s="18" t="s">
        <v>210</v>
      </c>
      <c r="E317" s="18" t="s">
        <v>21</v>
      </c>
    </row>
    <row r="318" spans="1:5" ht="25" x14ac:dyDescent="0.35">
      <c r="A318" s="17" t="s">
        <v>720</v>
      </c>
      <c r="B318" s="17" t="s">
        <v>46</v>
      </c>
      <c r="C318" s="17" t="s">
        <v>223</v>
      </c>
      <c r="D318" s="17" t="s">
        <v>721</v>
      </c>
      <c r="E318" s="17" t="s">
        <v>10</v>
      </c>
    </row>
    <row r="319" spans="1:5" ht="25" x14ac:dyDescent="0.35">
      <c r="A319" s="18" t="s">
        <v>195</v>
      </c>
      <c r="B319" s="18" t="s">
        <v>196</v>
      </c>
      <c r="C319" s="18" t="s">
        <v>499</v>
      </c>
      <c r="D319" s="18" t="s">
        <v>197</v>
      </c>
      <c r="E319" s="18" t="s">
        <v>21</v>
      </c>
    </row>
    <row r="320" spans="1:5" ht="25" x14ac:dyDescent="0.35">
      <c r="A320" s="17" t="s">
        <v>722</v>
      </c>
      <c r="B320" s="17" t="s">
        <v>175</v>
      </c>
      <c r="C320" s="17" t="s">
        <v>723</v>
      </c>
      <c r="D320" s="17" t="s">
        <v>708</v>
      </c>
      <c r="E320" s="17" t="s">
        <v>21</v>
      </c>
    </row>
    <row r="321" spans="1:5" ht="25" x14ac:dyDescent="0.35">
      <c r="A321" s="18" t="s">
        <v>724</v>
      </c>
      <c r="B321" s="18" t="s">
        <v>725</v>
      </c>
      <c r="C321" s="18" t="s">
        <v>726</v>
      </c>
      <c r="D321" s="18" t="s">
        <v>727</v>
      </c>
      <c r="E321" s="18" t="s">
        <v>19</v>
      </c>
    </row>
    <row r="322" spans="1:5" ht="25" x14ac:dyDescent="0.35">
      <c r="A322" s="17" t="s">
        <v>566</v>
      </c>
      <c r="B322" s="17" t="s">
        <v>567</v>
      </c>
      <c r="C322" s="17" t="s">
        <v>728</v>
      </c>
      <c r="D322" s="17" t="s">
        <v>569</v>
      </c>
      <c r="E322" s="17" t="s">
        <v>21</v>
      </c>
    </row>
    <row r="323" spans="1:5" x14ac:dyDescent="0.35">
      <c r="A323" s="18" t="s">
        <v>729</v>
      </c>
      <c r="B323" s="18" t="s">
        <v>730</v>
      </c>
      <c r="C323" s="18" t="s">
        <v>278</v>
      </c>
      <c r="D323" s="18" t="s">
        <v>472</v>
      </c>
      <c r="E323" s="18" t="s">
        <v>21</v>
      </c>
    </row>
    <row r="324" spans="1:5" ht="25" x14ac:dyDescent="0.35">
      <c r="A324" s="17" t="s">
        <v>566</v>
      </c>
      <c r="B324" s="17" t="s">
        <v>199</v>
      </c>
      <c r="C324" s="17" t="s">
        <v>307</v>
      </c>
      <c r="D324" s="17" t="s">
        <v>570</v>
      </c>
      <c r="E324" s="17" t="s">
        <v>10</v>
      </c>
    </row>
    <row r="325" spans="1:5" ht="25" x14ac:dyDescent="0.35">
      <c r="A325" s="18" t="s">
        <v>566</v>
      </c>
      <c r="B325" s="18" t="s">
        <v>567</v>
      </c>
      <c r="C325" s="18" t="s">
        <v>731</v>
      </c>
      <c r="D325" s="18" t="s">
        <v>569</v>
      </c>
      <c r="E325" s="18" t="s">
        <v>21</v>
      </c>
    </row>
    <row r="326" spans="1:5" ht="25" x14ac:dyDescent="0.35">
      <c r="A326" s="17" t="s">
        <v>309</v>
      </c>
      <c r="B326" s="17" t="s">
        <v>510</v>
      </c>
      <c r="C326" s="17" t="s">
        <v>732</v>
      </c>
      <c r="D326" s="17" t="s">
        <v>733</v>
      </c>
      <c r="E326" s="17" t="s">
        <v>10</v>
      </c>
    </row>
    <row r="327" spans="1:5" ht="25" x14ac:dyDescent="0.35">
      <c r="A327" s="18" t="s">
        <v>195</v>
      </c>
      <c r="B327" s="18" t="s">
        <v>684</v>
      </c>
      <c r="C327" s="18" t="s">
        <v>394</v>
      </c>
      <c r="D327" s="18" t="s">
        <v>734</v>
      </c>
      <c r="E327" s="18" t="s">
        <v>10</v>
      </c>
    </row>
    <row r="328" spans="1:5" ht="25" x14ac:dyDescent="0.35">
      <c r="A328" s="17" t="s">
        <v>195</v>
      </c>
      <c r="B328" s="17" t="s">
        <v>196</v>
      </c>
      <c r="C328" s="17" t="s">
        <v>326</v>
      </c>
      <c r="D328" s="17" t="s">
        <v>290</v>
      </c>
      <c r="E328" s="17" t="s">
        <v>21</v>
      </c>
    </row>
    <row r="329" spans="1:5" ht="25" x14ac:dyDescent="0.35">
      <c r="A329" s="18" t="s">
        <v>195</v>
      </c>
      <c r="B329" s="18" t="s">
        <v>735</v>
      </c>
      <c r="C329" s="18" t="s">
        <v>338</v>
      </c>
      <c r="D329" s="18" t="s">
        <v>736</v>
      </c>
      <c r="E329" s="18" t="s">
        <v>19</v>
      </c>
    </row>
    <row r="330" spans="1:5" x14ac:dyDescent="0.35">
      <c r="A330" s="17" t="s">
        <v>737</v>
      </c>
      <c r="B330" s="17" t="s">
        <v>738</v>
      </c>
      <c r="C330" s="17" t="s">
        <v>286</v>
      </c>
      <c r="D330" s="17" t="s">
        <v>52</v>
      </c>
      <c r="E330" s="17" t="s">
        <v>10</v>
      </c>
    </row>
    <row r="331" spans="1:5" x14ac:dyDescent="0.35">
      <c r="A331" s="18" t="s">
        <v>737</v>
      </c>
      <c r="B331" s="18" t="s">
        <v>738</v>
      </c>
      <c r="C331" s="18" t="s">
        <v>355</v>
      </c>
      <c r="D331" s="18" t="s">
        <v>52</v>
      </c>
      <c r="E331" s="18" t="s">
        <v>10</v>
      </c>
    </row>
    <row r="332" spans="1:5" ht="25" x14ac:dyDescent="0.35">
      <c r="A332" s="17" t="s">
        <v>528</v>
      </c>
      <c r="B332" s="17" t="s">
        <v>529</v>
      </c>
      <c r="C332" s="17" t="s">
        <v>348</v>
      </c>
      <c r="D332" s="17" t="s">
        <v>739</v>
      </c>
      <c r="E332" s="17" t="s">
        <v>10</v>
      </c>
    </row>
    <row r="333" spans="1:5" ht="25" x14ac:dyDescent="0.35">
      <c r="A333" s="18" t="s">
        <v>740</v>
      </c>
      <c r="B333" s="18" t="s">
        <v>39</v>
      </c>
      <c r="C333" s="18" t="s">
        <v>741</v>
      </c>
      <c r="D333" s="18" t="s">
        <v>742</v>
      </c>
      <c r="E333" s="18" t="s">
        <v>10</v>
      </c>
    </row>
    <row r="334" spans="1:5" x14ac:dyDescent="0.35">
      <c r="A334" s="17" t="s">
        <v>743</v>
      </c>
      <c r="B334" s="17" t="s">
        <v>744</v>
      </c>
      <c r="C334" s="17" t="s">
        <v>745</v>
      </c>
      <c r="D334" s="17" t="s">
        <v>746</v>
      </c>
      <c r="E334" s="17" t="s">
        <v>24</v>
      </c>
    </row>
    <row r="335" spans="1:5" x14ac:dyDescent="0.35">
      <c r="A335" s="18" t="s">
        <v>747</v>
      </c>
      <c r="B335" s="18" t="s">
        <v>748</v>
      </c>
      <c r="C335" s="18" t="s">
        <v>204</v>
      </c>
      <c r="D335" s="18" t="s">
        <v>52</v>
      </c>
      <c r="E335" s="18" t="s">
        <v>10</v>
      </c>
    </row>
    <row r="336" spans="1:5" ht="25" x14ac:dyDescent="0.35">
      <c r="A336" s="17" t="s">
        <v>749</v>
      </c>
      <c r="B336" s="17" t="s">
        <v>750</v>
      </c>
      <c r="C336" s="17" t="s">
        <v>392</v>
      </c>
      <c r="D336" s="17" t="s">
        <v>190</v>
      </c>
      <c r="E336" s="17" t="s">
        <v>21</v>
      </c>
    </row>
    <row r="337" spans="1:5" x14ac:dyDescent="0.35">
      <c r="A337" s="18" t="s">
        <v>315</v>
      </c>
      <c r="B337" s="18" t="s">
        <v>146</v>
      </c>
      <c r="C337" s="18" t="s">
        <v>500</v>
      </c>
      <c r="D337" s="18" t="s">
        <v>210</v>
      </c>
      <c r="E337" s="18" t="s">
        <v>21</v>
      </c>
    </row>
    <row r="338" spans="1:5" ht="25" x14ac:dyDescent="0.35">
      <c r="A338" s="17" t="s">
        <v>622</v>
      </c>
      <c r="B338" s="17" t="s">
        <v>590</v>
      </c>
      <c r="C338" s="17" t="s">
        <v>565</v>
      </c>
      <c r="D338" s="17" t="s">
        <v>339</v>
      </c>
      <c r="E338" s="17" t="s">
        <v>10</v>
      </c>
    </row>
    <row r="339" spans="1:5" x14ac:dyDescent="0.35">
      <c r="A339" s="18" t="s">
        <v>592</v>
      </c>
      <c r="B339" s="18" t="s">
        <v>751</v>
      </c>
      <c r="C339" s="18" t="s">
        <v>255</v>
      </c>
      <c r="D339" s="18" t="s">
        <v>594</v>
      </c>
      <c r="E339" s="18" t="s">
        <v>21</v>
      </c>
    </row>
    <row r="340" spans="1:5" x14ac:dyDescent="0.35">
      <c r="A340" s="17" t="s">
        <v>752</v>
      </c>
      <c r="B340" s="17" t="s">
        <v>420</v>
      </c>
      <c r="C340" s="17" t="s">
        <v>394</v>
      </c>
      <c r="D340" s="17" t="s">
        <v>753</v>
      </c>
      <c r="E340" s="17" t="s">
        <v>10</v>
      </c>
    </row>
    <row r="341" spans="1:5" ht="25" x14ac:dyDescent="0.35">
      <c r="A341" s="18" t="s">
        <v>451</v>
      </c>
      <c r="B341" s="18" t="s">
        <v>482</v>
      </c>
      <c r="C341" s="18" t="s">
        <v>105</v>
      </c>
      <c r="D341" s="18" t="s">
        <v>486</v>
      </c>
      <c r="E341" s="18" t="s">
        <v>21</v>
      </c>
    </row>
    <row r="342" spans="1:5" ht="25" x14ac:dyDescent="0.35">
      <c r="A342" s="17" t="s">
        <v>451</v>
      </c>
      <c r="B342" s="17" t="s">
        <v>482</v>
      </c>
      <c r="C342" s="17" t="s">
        <v>754</v>
      </c>
      <c r="D342" s="17" t="s">
        <v>558</v>
      </c>
      <c r="E342" s="17" t="s">
        <v>21</v>
      </c>
    </row>
    <row r="343" spans="1:5" ht="25" x14ac:dyDescent="0.35">
      <c r="A343" s="18" t="s">
        <v>755</v>
      </c>
      <c r="B343" s="18" t="s">
        <v>756</v>
      </c>
      <c r="C343" s="18" t="s">
        <v>757</v>
      </c>
      <c r="D343" s="18" t="s">
        <v>140</v>
      </c>
      <c r="E343" s="18" t="s">
        <v>10</v>
      </c>
    </row>
    <row r="344" spans="1:5" ht="25" x14ac:dyDescent="0.35">
      <c r="A344" s="17" t="s">
        <v>563</v>
      </c>
      <c r="B344" s="17" t="s">
        <v>758</v>
      </c>
      <c r="C344" s="17" t="s">
        <v>759</v>
      </c>
      <c r="D344" s="17" t="s">
        <v>760</v>
      </c>
      <c r="E344" s="17" t="s">
        <v>10</v>
      </c>
    </row>
    <row r="345" spans="1:5" x14ac:dyDescent="0.35">
      <c r="A345" s="18" t="s">
        <v>275</v>
      </c>
      <c r="B345" s="18" t="s">
        <v>276</v>
      </c>
      <c r="C345" s="18" t="s">
        <v>58</v>
      </c>
      <c r="D345" s="18" t="s">
        <v>44</v>
      </c>
      <c r="E345" s="18" t="s">
        <v>10</v>
      </c>
    </row>
    <row r="346" spans="1:5" ht="25" x14ac:dyDescent="0.35">
      <c r="A346" s="17" t="s">
        <v>761</v>
      </c>
      <c r="B346" s="17" t="s">
        <v>762</v>
      </c>
      <c r="C346" s="17" t="s">
        <v>513</v>
      </c>
      <c r="D346" s="17" t="s">
        <v>763</v>
      </c>
      <c r="E346" s="17" t="s">
        <v>10</v>
      </c>
    </row>
    <row r="347" spans="1:5" x14ac:dyDescent="0.35">
      <c r="A347" s="18" t="s">
        <v>275</v>
      </c>
      <c r="B347" s="18" t="s">
        <v>709</v>
      </c>
      <c r="C347" s="18" t="s">
        <v>589</v>
      </c>
      <c r="D347" s="18" t="s">
        <v>764</v>
      </c>
      <c r="E347" s="18" t="s">
        <v>10</v>
      </c>
    </row>
    <row r="348" spans="1:5" ht="25" x14ac:dyDescent="0.35">
      <c r="A348" s="17" t="s">
        <v>765</v>
      </c>
      <c r="B348" s="17" t="s">
        <v>438</v>
      </c>
      <c r="C348" s="17" t="s">
        <v>76</v>
      </c>
      <c r="D348" s="17" t="s">
        <v>314</v>
      </c>
      <c r="E348" s="17" t="s">
        <v>10</v>
      </c>
    </row>
    <row r="349" spans="1:5" x14ac:dyDescent="0.35">
      <c r="A349" s="18" t="s">
        <v>634</v>
      </c>
      <c r="B349" s="18" t="s">
        <v>766</v>
      </c>
      <c r="C349" s="18" t="s">
        <v>411</v>
      </c>
      <c r="D349" s="18" t="s">
        <v>88</v>
      </c>
      <c r="E349" s="18" t="s">
        <v>21</v>
      </c>
    </row>
    <row r="350" spans="1:5" ht="25" x14ac:dyDescent="0.35">
      <c r="A350" s="17" t="s">
        <v>154</v>
      </c>
      <c r="B350" s="17" t="s">
        <v>767</v>
      </c>
      <c r="C350" s="17" t="s">
        <v>255</v>
      </c>
      <c r="D350" s="17" t="s">
        <v>768</v>
      </c>
      <c r="E350" s="17" t="s">
        <v>19</v>
      </c>
    </row>
    <row r="351" spans="1:5" x14ac:dyDescent="0.35">
      <c r="A351" s="18" t="s">
        <v>769</v>
      </c>
      <c r="B351" s="18" t="s">
        <v>770</v>
      </c>
      <c r="C351" s="18" t="s">
        <v>771</v>
      </c>
      <c r="D351" s="18" t="s">
        <v>369</v>
      </c>
      <c r="E351" s="18" t="s">
        <v>21</v>
      </c>
    </row>
    <row r="352" spans="1:5" ht="25" x14ac:dyDescent="0.35">
      <c r="A352" s="17" t="s">
        <v>772</v>
      </c>
      <c r="B352" s="17" t="s">
        <v>773</v>
      </c>
      <c r="C352" s="17" t="s">
        <v>406</v>
      </c>
      <c r="D352" s="17" t="s">
        <v>774</v>
      </c>
      <c r="E352" s="17" t="s">
        <v>21</v>
      </c>
    </row>
    <row r="353" spans="1:5" x14ac:dyDescent="0.35">
      <c r="A353" s="18" t="s">
        <v>775</v>
      </c>
      <c r="B353" s="18" t="s">
        <v>776</v>
      </c>
      <c r="C353" s="18" t="s">
        <v>109</v>
      </c>
      <c r="D353" s="18" t="s">
        <v>190</v>
      </c>
      <c r="E353" s="18" t="s">
        <v>10</v>
      </c>
    </row>
    <row r="354" spans="1:5" ht="25" x14ac:dyDescent="0.35">
      <c r="A354" s="17" t="s">
        <v>551</v>
      </c>
      <c r="B354" s="17" t="s">
        <v>405</v>
      </c>
      <c r="C354" s="17" t="s">
        <v>304</v>
      </c>
      <c r="D354" s="17" t="s">
        <v>553</v>
      </c>
      <c r="E354" s="17" t="s">
        <v>21</v>
      </c>
    </row>
    <row r="355" spans="1:5" x14ac:dyDescent="0.35">
      <c r="A355" s="18" t="s">
        <v>695</v>
      </c>
      <c r="B355" s="18" t="s">
        <v>777</v>
      </c>
      <c r="C355" s="18" t="s">
        <v>778</v>
      </c>
      <c r="D355" s="18" t="s">
        <v>779</v>
      </c>
      <c r="E355" s="18" t="s">
        <v>19</v>
      </c>
    </row>
    <row r="356" spans="1:5" x14ac:dyDescent="0.35">
      <c r="A356" s="17" t="s">
        <v>98</v>
      </c>
      <c r="B356" s="17" t="s">
        <v>39</v>
      </c>
      <c r="C356" s="17" t="s">
        <v>365</v>
      </c>
      <c r="D356" s="17" t="s">
        <v>610</v>
      </c>
      <c r="E356" s="17" t="s">
        <v>10</v>
      </c>
    </row>
    <row r="357" spans="1:5" x14ac:dyDescent="0.35">
      <c r="A357" s="18" t="s">
        <v>780</v>
      </c>
      <c r="B357" s="18" t="s">
        <v>410</v>
      </c>
      <c r="C357" s="18" t="s">
        <v>229</v>
      </c>
      <c r="D357" s="18" t="s">
        <v>781</v>
      </c>
      <c r="E357" s="18" t="s">
        <v>21</v>
      </c>
    </row>
    <row r="358" spans="1:5" x14ac:dyDescent="0.35">
      <c r="A358" s="17" t="s">
        <v>216</v>
      </c>
      <c r="B358" s="17" t="s">
        <v>420</v>
      </c>
      <c r="C358" s="17" t="s">
        <v>694</v>
      </c>
      <c r="D358" s="17" t="s">
        <v>782</v>
      </c>
      <c r="E358" s="17" t="s">
        <v>10</v>
      </c>
    </row>
    <row r="359" spans="1:5" x14ac:dyDescent="0.35">
      <c r="A359" s="18" t="s">
        <v>85</v>
      </c>
      <c r="B359" s="18" t="s">
        <v>417</v>
      </c>
      <c r="C359" s="18" t="s">
        <v>646</v>
      </c>
      <c r="D359" s="18" t="s">
        <v>783</v>
      </c>
      <c r="E359" s="18" t="s">
        <v>10</v>
      </c>
    </row>
    <row r="360" spans="1:5" x14ac:dyDescent="0.35">
      <c r="A360" s="17" t="s">
        <v>784</v>
      </c>
      <c r="B360" s="17" t="s">
        <v>785</v>
      </c>
      <c r="C360" s="17" t="s">
        <v>145</v>
      </c>
      <c r="D360" s="17" t="s">
        <v>786</v>
      </c>
      <c r="E360" s="17" t="s">
        <v>10</v>
      </c>
    </row>
    <row r="361" spans="1:5" ht="25" x14ac:dyDescent="0.35">
      <c r="A361" s="18" t="s">
        <v>755</v>
      </c>
      <c r="B361" s="18" t="s">
        <v>756</v>
      </c>
      <c r="C361" s="18" t="s">
        <v>787</v>
      </c>
      <c r="D361" s="18" t="s">
        <v>140</v>
      </c>
      <c r="E361" s="18" t="s">
        <v>10</v>
      </c>
    </row>
    <row r="362" spans="1:5" ht="25" x14ac:dyDescent="0.35">
      <c r="A362" s="17" t="s">
        <v>566</v>
      </c>
      <c r="B362" s="17" t="s">
        <v>567</v>
      </c>
      <c r="C362" s="17" t="s">
        <v>788</v>
      </c>
      <c r="D362" s="17" t="s">
        <v>789</v>
      </c>
      <c r="E362" s="17" t="s">
        <v>21</v>
      </c>
    </row>
    <row r="363" spans="1:5" ht="25" x14ac:dyDescent="0.35">
      <c r="A363" s="18" t="s">
        <v>566</v>
      </c>
      <c r="B363" s="18" t="s">
        <v>199</v>
      </c>
      <c r="C363" s="18" t="s">
        <v>790</v>
      </c>
      <c r="D363" s="18" t="s">
        <v>190</v>
      </c>
      <c r="E363" s="18" t="s">
        <v>10</v>
      </c>
    </row>
    <row r="364" spans="1:5" ht="25" x14ac:dyDescent="0.35">
      <c r="A364" s="17" t="s">
        <v>566</v>
      </c>
      <c r="B364" s="17" t="s">
        <v>199</v>
      </c>
      <c r="C364" s="17" t="s">
        <v>453</v>
      </c>
      <c r="D364" s="17" t="s">
        <v>570</v>
      </c>
      <c r="E364" s="17" t="s">
        <v>10</v>
      </c>
    </row>
    <row r="365" spans="1:5" ht="25" x14ac:dyDescent="0.35">
      <c r="A365" s="18" t="s">
        <v>566</v>
      </c>
      <c r="B365" s="18" t="s">
        <v>199</v>
      </c>
      <c r="C365" s="18" t="s">
        <v>791</v>
      </c>
      <c r="D365" s="18" t="s">
        <v>570</v>
      </c>
      <c r="E365" s="18" t="s">
        <v>10</v>
      </c>
    </row>
    <row r="366" spans="1:5" ht="25" x14ac:dyDescent="0.35">
      <c r="A366" s="17" t="s">
        <v>566</v>
      </c>
      <c r="B366" s="17" t="s">
        <v>199</v>
      </c>
      <c r="C366" s="17" t="s">
        <v>573</v>
      </c>
      <c r="D366" s="17" t="s">
        <v>570</v>
      </c>
      <c r="E366" s="17" t="s">
        <v>10</v>
      </c>
    </row>
    <row r="367" spans="1:5" ht="25" x14ac:dyDescent="0.35">
      <c r="A367" s="18" t="s">
        <v>566</v>
      </c>
      <c r="B367" s="18" t="s">
        <v>567</v>
      </c>
      <c r="C367" s="18" t="s">
        <v>792</v>
      </c>
      <c r="D367" s="18" t="s">
        <v>484</v>
      </c>
      <c r="E367" s="18" t="s">
        <v>21</v>
      </c>
    </row>
    <row r="368" spans="1:5" ht="25" x14ac:dyDescent="0.35">
      <c r="A368" s="17" t="s">
        <v>566</v>
      </c>
      <c r="B368" s="17" t="s">
        <v>199</v>
      </c>
      <c r="C368" s="17" t="s">
        <v>793</v>
      </c>
      <c r="D368" s="17" t="s">
        <v>570</v>
      </c>
      <c r="E368" s="17" t="s">
        <v>10</v>
      </c>
    </row>
    <row r="369" spans="1:5" ht="25" x14ac:dyDescent="0.35">
      <c r="A369" s="18" t="s">
        <v>566</v>
      </c>
      <c r="B369" s="18" t="s">
        <v>199</v>
      </c>
      <c r="C369" s="18" t="s">
        <v>794</v>
      </c>
      <c r="D369" s="18" t="s">
        <v>570</v>
      </c>
      <c r="E369" s="18" t="s">
        <v>10</v>
      </c>
    </row>
    <row r="370" spans="1:5" ht="25" x14ac:dyDescent="0.35">
      <c r="A370" s="17" t="s">
        <v>566</v>
      </c>
      <c r="B370" s="17" t="s">
        <v>199</v>
      </c>
      <c r="C370" s="17" t="s">
        <v>795</v>
      </c>
      <c r="D370" s="17" t="s">
        <v>570</v>
      </c>
      <c r="E370" s="17" t="s">
        <v>10</v>
      </c>
    </row>
    <row r="371" spans="1:5" ht="25" x14ac:dyDescent="0.35">
      <c r="A371" s="18" t="s">
        <v>566</v>
      </c>
      <c r="B371" s="18" t="s">
        <v>567</v>
      </c>
      <c r="C371" s="18" t="s">
        <v>796</v>
      </c>
      <c r="D371" s="18" t="s">
        <v>569</v>
      </c>
      <c r="E371" s="18" t="s">
        <v>21</v>
      </c>
    </row>
    <row r="372" spans="1:5" ht="25" x14ac:dyDescent="0.35">
      <c r="A372" s="17" t="s">
        <v>566</v>
      </c>
      <c r="B372" s="17" t="s">
        <v>567</v>
      </c>
      <c r="C372" s="17" t="s">
        <v>797</v>
      </c>
      <c r="D372" s="17" t="s">
        <v>569</v>
      </c>
      <c r="E372" s="17" t="s">
        <v>21</v>
      </c>
    </row>
    <row r="373" spans="1:5" ht="25" x14ac:dyDescent="0.35">
      <c r="A373" s="18" t="s">
        <v>720</v>
      </c>
      <c r="B373" s="18" t="s">
        <v>46</v>
      </c>
      <c r="C373" s="18" t="s">
        <v>798</v>
      </c>
      <c r="D373" s="18" t="s">
        <v>799</v>
      </c>
      <c r="E373" s="18" t="s">
        <v>10</v>
      </c>
    </row>
    <row r="374" spans="1:5" ht="25" x14ac:dyDescent="0.35">
      <c r="A374" s="17" t="s">
        <v>566</v>
      </c>
      <c r="B374" s="17" t="s">
        <v>567</v>
      </c>
      <c r="C374" s="17" t="s">
        <v>800</v>
      </c>
      <c r="D374" s="17" t="s">
        <v>569</v>
      </c>
      <c r="E374" s="17" t="s">
        <v>21</v>
      </c>
    </row>
    <row r="375" spans="1:5" ht="25" x14ac:dyDescent="0.35">
      <c r="A375" s="18" t="s">
        <v>154</v>
      </c>
      <c r="B375" s="18" t="s">
        <v>295</v>
      </c>
      <c r="C375" s="18" t="s">
        <v>801</v>
      </c>
      <c r="D375" s="18" t="s">
        <v>802</v>
      </c>
      <c r="E375" s="18" t="s">
        <v>21</v>
      </c>
    </row>
    <row r="376" spans="1:5" ht="25" x14ac:dyDescent="0.35">
      <c r="A376" s="17" t="s">
        <v>720</v>
      </c>
      <c r="B376" s="17" t="s">
        <v>68</v>
      </c>
      <c r="C376" s="17" t="s">
        <v>803</v>
      </c>
      <c r="D376" s="17" t="s">
        <v>804</v>
      </c>
      <c r="E376" s="17" t="s">
        <v>24</v>
      </c>
    </row>
    <row r="377" spans="1:5" ht="25" x14ac:dyDescent="0.35">
      <c r="A377" s="18" t="s">
        <v>720</v>
      </c>
      <c r="B377" s="18" t="s">
        <v>46</v>
      </c>
      <c r="C377" s="18" t="s">
        <v>223</v>
      </c>
      <c r="D377" s="18" t="s">
        <v>721</v>
      </c>
      <c r="E377" s="18" t="s">
        <v>10</v>
      </c>
    </row>
    <row r="378" spans="1:5" ht="25" x14ac:dyDescent="0.35">
      <c r="A378" s="17" t="s">
        <v>805</v>
      </c>
      <c r="B378" s="17" t="s">
        <v>806</v>
      </c>
      <c r="C378" s="17" t="s">
        <v>365</v>
      </c>
      <c r="D378" s="17" t="s">
        <v>70</v>
      </c>
      <c r="E378" s="17" t="s">
        <v>10</v>
      </c>
    </row>
    <row r="379" spans="1:5" x14ac:dyDescent="0.35">
      <c r="A379" s="18" t="s">
        <v>98</v>
      </c>
      <c r="B379" s="18" t="s">
        <v>104</v>
      </c>
      <c r="C379" s="18" t="s">
        <v>139</v>
      </c>
      <c r="D379" s="18" t="s">
        <v>807</v>
      </c>
      <c r="E379" s="18" t="s">
        <v>21</v>
      </c>
    </row>
    <row r="380" spans="1:5" ht="25" x14ac:dyDescent="0.35">
      <c r="A380" s="17" t="s">
        <v>174</v>
      </c>
      <c r="B380" s="17" t="s">
        <v>175</v>
      </c>
      <c r="C380" s="17" t="s">
        <v>348</v>
      </c>
      <c r="D380" s="17" t="s">
        <v>508</v>
      </c>
      <c r="E380" s="17" t="s">
        <v>21</v>
      </c>
    </row>
    <row r="381" spans="1:5" ht="25" x14ac:dyDescent="0.35">
      <c r="A381" s="18" t="s">
        <v>808</v>
      </c>
      <c r="B381" s="18" t="s">
        <v>809</v>
      </c>
      <c r="C381" s="18" t="s">
        <v>164</v>
      </c>
      <c r="D381" s="18" t="s">
        <v>484</v>
      </c>
      <c r="E381" s="18" t="s">
        <v>21</v>
      </c>
    </row>
    <row r="382" spans="1:5" x14ac:dyDescent="0.35">
      <c r="A382" s="17" t="s">
        <v>810</v>
      </c>
      <c r="B382" s="17" t="s">
        <v>702</v>
      </c>
      <c r="C382" s="17" t="s">
        <v>811</v>
      </c>
      <c r="D382" s="17" t="s">
        <v>556</v>
      </c>
      <c r="E382" s="17" t="s">
        <v>10</v>
      </c>
    </row>
    <row r="383" spans="1:5" ht="25" x14ac:dyDescent="0.35">
      <c r="A383" s="18" t="s">
        <v>812</v>
      </c>
      <c r="B383" s="18" t="s">
        <v>813</v>
      </c>
      <c r="C383" s="18" t="s">
        <v>321</v>
      </c>
      <c r="D383" s="18" t="s">
        <v>140</v>
      </c>
      <c r="E383" s="18" t="s">
        <v>10</v>
      </c>
    </row>
    <row r="384" spans="1:5" x14ac:dyDescent="0.35">
      <c r="A384" s="17" t="s">
        <v>814</v>
      </c>
      <c r="B384" s="17" t="s">
        <v>364</v>
      </c>
      <c r="C384" s="17" t="s">
        <v>359</v>
      </c>
      <c r="D384" s="17" t="s">
        <v>815</v>
      </c>
      <c r="E384" s="17" t="s">
        <v>10</v>
      </c>
    </row>
    <row r="385" spans="1:5" x14ac:dyDescent="0.35">
      <c r="A385" s="18" t="s">
        <v>816</v>
      </c>
      <c r="B385" s="18" t="s">
        <v>817</v>
      </c>
      <c r="C385" s="18" t="s">
        <v>321</v>
      </c>
      <c r="D385" s="18" t="s">
        <v>140</v>
      </c>
      <c r="E385" s="18" t="s">
        <v>10</v>
      </c>
    </row>
    <row r="386" spans="1:5" x14ac:dyDescent="0.35">
      <c r="A386" s="17" t="s">
        <v>816</v>
      </c>
      <c r="B386" s="17" t="s">
        <v>818</v>
      </c>
      <c r="C386" s="17" t="s">
        <v>338</v>
      </c>
      <c r="D386" s="17" t="s">
        <v>819</v>
      </c>
      <c r="E386" s="17" t="s">
        <v>21</v>
      </c>
    </row>
    <row r="387" spans="1:5" x14ac:dyDescent="0.35">
      <c r="A387" s="18" t="s">
        <v>816</v>
      </c>
      <c r="B387" s="18" t="s">
        <v>820</v>
      </c>
      <c r="C387" s="18" t="s">
        <v>359</v>
      </c>
      <c r="D387" s="18" t="s">
        <v>279</v>
      </c>
      <c r="E387" s="18" t="s">
        <v>10</v>
      </c>
    </row>
    <row r="388" spans="1:5" x14ac:dyDescent="0.35">
      <c r="A388" s="17" t="s">
        <v>816</v>
      </c>
      <c r="B388" s="17" t="s">
        <v>821</v>
      </c>
      <c r="C388" s="17" t="s">
        <v>111</v>
      </c>
      <c r="D388" s="17" t="s">
        <v>369</v>
      </c>
      <c r="E388" s="17" t="s">
        <v>21</v>
      </c>
    </row>
    <row r="389" spans="1:5" x14ac:dyDescent="0.35">
      <c r="A389" s="18" t="s">
        <v>814</v>
      </c>
      <c r="B389" s="18" t="s">
        <v>822</v>
      </c>
      <c r="C389" s="18" t="s">
        <v>338</v>
      </c>
      <c r="D389" s="18" t="s">
        <v>484</v>
      </c>
      <c r="E389" s="18" t="s">
        <v>21</v>
      </c>
    </row>
    <row r="390" spans="1:5" ht="25" x14ac:dyDescent="0.35">
      <c r="A390" s="17" t="s">
        <v>823</v>
      </c>
      <c r="B390" s="17" t="s">
        <v>209</v>
      </c>
      <c r="C390" s="17" t="s">
        <v>278</v>
      </c>
      <c r="D390" s="17" t="s">
        <v>369</v>
      </c>
      <c r="E390" s="17" t="s">
        <v>21</v>
      </c>
    </row>
    <row r="391" spans="1:5" x14ac:dyDescent="0.35">
      <c r="A391" s="18" t="s">
        <v>93</v>
      </c>
      <c r="B391" s="18" t="s">
        <v>104</v>
      </c>
      <c r="C391" s="18" t="s">
        <v>824</v>
      </c>
      <c r="D391" s="18" t="s">
        <v>193</v>
      </c>
      <c r="E391" s="18" t="s">
        <v>21</v>
      </c>
    </row>
    <row r="392" spans="1:5" x14ac:dyDescent="0.35">
      <c r="A392" s="17" t="s">
        <v>825</v>
      </c>
      <c r="B392" s="17" t="s">
        <v>826</v>
      </c>
      <c r="C392" s="17" t="s">
        <v>827</v>
      </c>
      <c r="D392" s="17" t="s">
        <v>339</v>
      </c>
      <c r="E392" s="17" t="s">
        <v>10</v>
      </c>
    </row>
    <row r="393" spans="1:5" ht="25" x14ac:dyDescent="0.35">
      <c r="A393" s="18" t="s">
        <v>828</v>
      </c>
      <c r="B393" s="18" t="s">
        <v>770</v>
      </c>
      <c r="C393" s="18" t="s">
        <v>147</v>
      </c>
      <c r="D393" s="18" t="s">
        <v>829</v>
      </c>
      <c r="E393" s="18" t="s">
        <v>21</v>
      </c>
    </row>
    <row r="394" spans="1:5" x14ac:dyDescent="0.35">
      <c r="A394" s="17" t="s">
        <v>830</v>
      </c>
      <c r="B394" s="17" t="s">
        <v>831</v>
      </c>
      <c r="C394" s="17" t="s">
        <v>105</v>
      </c>
      <c r="D394" s="17" t="s">
        <v>700</v>
      </c>
      <c r="E394" s="17" t="s">
        <v>19</v>
      </c>
    </row>
    <row r="395" spans="1:5" x14ac:dyDescent="0.35">
      <c r="A395" s="18" t="s">
        <v>275</v>
      </c>
      <c r="B395" s="18" t="s">
        <v>832</v>
      </c>
      <c r="C395" s="18" t="s">
        <v>546</v>
      </c>
      <c r="D395" s="18" t="s">
        <v>676</v>
      </c>
      <c r="E395" s="18" t="s">
        <v>10</v>
      </c>
    </row>
    <row r="396" spans="1:5" x14ac:dyDescent="0.35">
      <c r="A396" s="17" t="s">
        <v>275</v>
      </c>
      <c r="B396" s="17" t="s">
        <v>704</v>
      </c>
      <c r="C396" s="17" t="s">
        <v>69</v>
      </c>
      <c r="D396" s="17" t="s">
        <v>241</v>
      </c>
      <c r="E396" s="17" t="s">
        <v>10</v>
      </c>
    </row>
    <row r="397" spans="1:5" x14ac:dyDescent="0.35">
      <c r="A397" s="18" t="s">
        <v>275</v>
      </c>
      <c r="B397" s="18" t="s">
        <v>704</v>
      </c>
      <c r="C397" s="18" t="s">
        <v>151</v>
      </c>
      <c r="D397" s="18" t="s">
        <v>70</v>
      </c>
      <c r="E397" s="18" t="s">
        <v>10</v>
      </c>
    </row>
    <row r="398" spans="1:5" x14ac:dyDescent="0.35">
      <c r="A398" s="17" t="s">
        <v>275</v>
      </c>
      <c r="B398" s="17" t="s">
        <v>709</v>
      </c>
      <c r="C398" s="17" t="s">
        <v>58</v>
      </c>
      <c r="D398" s="17" t="s">
        <v>676</v>
      </c>
      <c r="E398" s="17" t="s">
        <v>10</v>
      </c>
    </row>
    <row r="399" spans="1:5" x14ac:dyDescent="0.35">
      <c r="A399" s="18" t="s">
        <v>275</v>
      </c>
      <c r="B399" s="18" t="s">
        <v>833</v>
      </c>
      <c r="C399" s="18" t="s">
        <v>126</v>
      </c>
      <c r="D399" s="18" t="s">
        <v>369</v>
      </c>
      <c r="E399" s="18" t="s">
        <v>21</v>
      </c>
    </row>
    <row r="400" spans="1:5" ht="25" x14ac:dyDescent="0.35">
      <c r="A400" s="17" t="s">
        <v>154</v>
      </c>
      <c r="B400" s="17" t="s">
        <v>155</v>
      </c>
      <c r="C400" s="17" t="s">
        <v>834</v>
      </c>
      <c r="D400" s="17" t="s">
        <v>680</v>
      </c>
      <c r="E400" s="17" t="s">
        <v>10</v>
      </c>
    </row>
    <row r="401" spans="1:5" ht="25" x14ac:dyDescent="0.35">
      <c r="A401" s="18" t="s">
        <v>412</v>
      </c>
      <c r="B401" s="18" t="s">
        <v>667</v>
      </c>
      <c r="C401" s="18" t="s">
        <v>152</v>
      </c>
      <c r="D401" s="18" t="s">
        <v>835</v>
      </c>
      <c r="E401" s="18" t="s">
        <v>21</v>
      </c>
    </row>
    <row r="402" spans="1:5" x14ac:dyDescent="0.35">
      <c r="A402" s="17" t="s">
        <v>836</v>
      </c>
      <c r="B402" s="17" t="s">
        <v>837</v>
      </c>
      <c r="C402" s="17" t="s">
        <v>147</v>
      </c>
      <c r="D402" s="17" t="s">
        <v>436</v>
      </c>
      <c r="E402" s="17" t="s">
        <v>10</v>
      </c>
    </row>
    <row r="403" spans="1:5" ht="25" x14ac:dyDescent="0.35">
      <c r="A403" s="18" t="s">
        <v>622</v>
      </c>
      <c r="B403" s="18" t="s">
        <v>838</v>
      </c>
      <c r="C403" s="18" t="s">
        <v>839</v>
      </c>
      <c r="D403" s="18" t="s">
        <v>840</v>
      </c>
      <c r="E403" s="18" t="s">
        <v>19</v>
      </c>
    </row>
    <row r="404" spans="1:5" ht="25" x14ac:dyDescent="0.35">
      <c r="A404" s="17" t="s">
        <v>841</v>
      </c>
      <c r="B404" s="17" t="s">
        <v>160</v>
      </c>
      <c r="C404" s="17" t="s">
        <v>176</v>
      </c>
      <c r="D404" s="17" t="s">
        <v>842</v>
      </c>
      <c r="E404" s="17" t="s">
        <v>10</v>
      </c>
    </row>
    <row r="405" spans="1:5" ht="25" x14ac:dyDescent="0.35">
      <c r="A405" s="18" t="s">
        <v>843</v>
      </c>
      <c r="B405" s="18" t="s">
        <v>362</v>
      </c>
      <c r="C405" s="18" t="s">
        <v>176</v>
      </c>
      <c r="D405" s="18" t="s">
        <v>52</v>
      </c>
      <c r="E405" s="18" t="s">
        <v>10</v>
      </c>
    </row>
    <row r="406" spans="1:5" x14ac:dyDescent="0.35">
      <c r="A406" s="17" t="s">
        <v>390</v>
      </c>
      <c r="B406" s="17" t="s">
        <v>391</v>
      </c>
      <c r="C406" s="17" t="s">
        <v>844</v>
      </c>
      <c r="D406" s="17" t="s">
        <v>845</v>
      </c>
      <c r="E406" s="17" t="s">
        <v>10</v>
      </c>
    </row>
    <row r="407" spans="1:5" ht="25" x14ac:dyDescent="0.35">
      <c r="A407" s="18" t="s">
        <v>181</v>
      </c>
      <c r="B407" s="18" t="s">
        <v>182</v>
      </c>
      <c r="C407" s="18" t="s">
        <v>286</v>
      </c>
      <c r="D407" s="18" t="s">
        <v>846</v>
      </c>
      <c r="E407" s="18" t="s">
        <v>21</v>
      </c>
    </row>
    <row r="408" spans="1:5" x14ac:dyDescent="0.35">
      <c r="A408" s="17" t="s">
        <v>847</v>
      </c>
      <c r="B408" s="17" t="s">
        <v>848</v>
      </c>
      <c r="C408" s="17" t="s">
        <v>504</v>
      </c>
      <c r="D408" s="17" t="s">
        <v>169</v>
      </c>
      <c r="E408" s="17" t="s">
        <v>21</v>
      </c>
    </row>
    <row r="409" spans="1:5" ht="25" x14ac:dyDescent="0.35">
      <c r="A409" s="18" t="s">
        <v>622</v>
      </c>
      <c r="B409" s="18" t="s">
        <v>590</v>
      </c>
      <c r="C409" s="18" t="s">
        <v>424</v>
      </c>
      <c r="D409" s="18" t="s">
        <v>849</v>
      </c>
      <c r="E409" s="18" t="s">
        <v>10</v>
      </c>
    </row>
    <row r="410" spans="1:5" ht="25" x14ac:dyDescent="0.35">
      <c r="A410" s="17" t="s">
        <v>850</v>
      </c>
      <c r="B410" s="17" t="s">
        <v>851</v>
      </c>
      <c r="C410" s="17" t="s">
        <v>852</v>
      </c>
      <c r="D410" s="17" t="s">
        <v>853</v>
      </c>
      <c r="E410" s="17" t="s">
        <v>10</v>
      </c>
    </row>
    <row r="411" spans="1:5" ht="25" x14ac:dyDescent="0.35">
      <c r="A411" s="18" t="s">
        <v>412</v>
      </c>
      <c r="B411" s="18" t="s">
        <v>667</v>
      </c>
      <c r="C411" s="18" t="s">
        <v>152</v>
      </c>
      <c r="D411" s="18" t="s">
        <v>854</v>
      </c>
      <c r="E411" s="18" t="s">
        <v>21</v>
      </c>
    </row>
    <row r="412" spans="1:5" ht="25" x14ac:dyDescent="0.35">
      <c r="A412" s="17" t="s">
        <v>195</v>
      </c>
      <c r="B412" s="17" t="s">
        <v>196</v>
      </c>
      <c r="C412" s="17" t="s">
        <v>278</v>
      </c>
      <c r="D412" s="17" t="s">
        <v>290</v>
      </c>
      <c r="E412" s="17" t="s">
        <v>21</v>
      </c>
    </row>
    <row r="413" spans="1:5" x14ac:dyDescent="0.35">
      <c r="A413" s="18" t="s">
        <v>855</v>
      </c>
      <c r="B413" s="18" t="s">
        <v>856</v>
      </c>
      <c r="C413" s="18" t="s">
        <v>130</v>
      </c>
      <c r="D413" s="18" t="s">
        <v>857</v>
      </c>
      <c r="E413" s="18" t="s">
        <v>10</v>
      </c>
    </row>
    <row r="414" spans="1:5" x14ac:dyDescent="0.35">
      <c r="A414" s="17" t="s">
        <v>858</v>
      </c>
      <c r="B414" s="17" t="s">
        <v>859</v>
      </c>
      <c r="C414" s="17" t="s">
        <v>183</v>
      </c>
      <c r="D414" s="17" t="s">
        <v>860</v>
      </c>
      <c r="E414" s="17" t="s">
        <v>10</v>
      </c>
    </row>
    <row r="415" spans="1:5" x14ac:dyDescent="0.35">
      <c r="A415" s="18" t="s">
        <v>216</v>
      </c>
      <c r="B415" s="18" t="s">
        <v>861</v>
      </c>
      <c r="C415" s="18" t="s">
        <v>862</v>
      </c>
      <c r="D415" s="18" t="s">
        <v>863</v>
      </c>
      <c r="E415" s="18" t="s">
        <v>26</v>
      </c>
    </row>
  </sheetData>
  <mergeCells count="1">
    <mergeCell ref="A1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2"/>
  <sheetViews>
    <sheetView showGridLines="0" zoomScaleNormal="100" workbookViewId="0">
      <selection activeCell="G5" sqref="G5"/>
    </sheetView>
  </sheetViews>
  <sheetFormatPr defaultColWidth="8.6328125" defaultRowHeight="14.5" x14ac:dyDescent="0.35"/>
  <cols>
    <col min="1" max="1" width="28" customWidth="1"/>
    <col min="2" max="2" width="22" customWidth="1"/>
    <col min="3" max="3" width="12" customWidth="1"/>
    <col min="4" max="4" width="8" customWidth="1"/>
    <col min="5" max="5" width="16" customWidth="1"/>
    <col min="6" max="6" width="14" customWidth="1"/>
    <col min="7" max="7" width="16" customWidth="1"/>
    <col min="8" max="8" width="10" customWidth="1"/>
  </cols>
  <sheetData>
    <row r="1" spans="1:8" ht="30" customHeight="1" x14ac:dyDescent="0.35">
      <c r="A1" s="41" t="s">
        <v>864</v>
      </c>
      <c r="B1" s="41"/>
      <c r="C1" s="41"/>
      <c r="D1" s="41"/>
      <c r="E1" s="41"/>
      <c r="F1" s="41"/>
      <c r="G1" s="41"/>
      <c r="H1" s="41"/>
    </row>
    <row r="2" spans="1:8" x14ac:dyDescent="0.35">
      <c r="A2" s="41"/>
      <c r="B2" s="41"/>
      <c r="C2" s="41"/>
      <c r="D2" s="41"/>
      <c r="E2" s="41"/>
      <c r="F2" s="41"/>
      <c r="G2" s="41"/>
      <c r="H2" s="41"/>
    </row>
    <row r="3" spans="1:8" x14ac:dyDescent="0.35">
      <c r="A3" s="19" t="s">
        <v>865</v>
      </c>
      <c r="B3" s="19" t="s">
        <v>17</v>
      </c>
      <c r="C3" s="19" t="s">
        <v>866</v>
      </c>
      <c r="D3" s="19" t="s">
        <v>14</v>
      </c>
      <c r="E3" s="19" t="s">
        <v>867</v>
      </c>
      <c r="F3" s="19" t="s">
        <v>868</v>
      </c>
      <c r="G3" s="19" t="s">
        <v>18</v>
      </c>
      <c r="H3" s="19" t="s">
        <v>869</v>
      </c>
    </row>
    <row r="4" spans="1:8" x14ac:dyDescent="0.35">
      <c r="A4" s="17" t="s">
        <v>870</v>
      </c>
      <c r="B4" s="17" t="s">
        <v>871</v>
      </c>
      <c r="C4" s="17" t="s">
        <v>872</v>
      </c>
      <c r="D4" s="17">
        <v>3</v>
      </c>
      <c r="E4" s="17">
        <v>240</v>
      </c>
      <c r="F4" s="17">
        <v>1507</v>
      </c>
      <c r="G4" s="26">
        <f xml:space="preserve"> (E4 * 100000) / F4</f>
        <v>15925.680159256801</v>
      </c>
      <c r="H4" s="17">
        <v>4.2</v>
      </c>
    </row>
    <row r="5" spans="1:8" x14ac:dyDescent="0.35">
      <c r="A5" s="18" t="s">
        <v>870</v>
      </c>
      <c r="B5" s="18" t="s">
        <v>873</v>
      </c>
      <c r="C5" s="18" t="s">
        <v>872</v>
      </c>
      <c r="D5" s="18">
        <v>3</v>
      </c>
      <c r="E5" s="18">
        <v>288</v>
      </c>
      <c r="F5" s="18">
        <v>1800</v>
      </c>
      <c r="G5" s="26">
        <f t="shared" ref="G5:G68" si="0" xml:space="preserve"> (E5 * 100000) / F5</f>
        <v>16000</v>
      </c>
      <c r="H5" s="18">
        <v>4.2</v>
      </c>
    </row>
    <row r="6" spans="1:8" x14ac:dyDescent="0.35">
      <c r="A6" s="17" t="s">
        <v>630</v>
      </c>
      <c r="B6" s="17" t="s">
        <v>11</v>
      </c>
      <c r="C6" s="17" t="s">
        <v>872</v>
      </c>
      <c r="D6" s="17">
        <v>3</v>
      </c>
      <c r="E6" s="17">
        <v>210</v>
      </c>
      <c r="F6" s="17">
        <v>1550</v>
      </c>
      <c r="G6" s="26">
        <f t="shared" si="0"/>
        <v>13548.387096774193</v>
      </c>
      <c r="H6" s="17">
        <v>4.3</v>
      </c>
    </row>
    <row r="7" spans="1:8" ht="25" x14ac:dyDescent="0.35">
      <c r="A7" s="18" t="s">
        <v>49</v>
      </c>
      <c r="B7" s="18" t="s">
        <v>874</v>
      </c>
      <c r="C7" s="18" t="s">
        <v>875</v>
      </c>
      <c r="D7" s="18">
        <v>4</v>
      </c>
      <c r="E7" s="18">
        <v>445</v>
      </c>
      <c r="F7" s="18">
        <v>1500</v>
      </c>
      <c r="G7" s="26">
        <f t="shared" si="0"/>
        <v>29666.666666666668</v>
      </c>
      <c r="H7" s="18"/>
    </row>
    <row r="8" spans="1:8" x14ac:dyDescent="0.35">
      <c r="A8" s="17" t="s">
        <v>870</v>
      </c>
      <c r="B8" s="17" t="s">
        <v>871</v>
      </c>
      <c r="C8" s="17" t="s">
        <v>872</v>
      </c>
      <c r="D8" s="17">
        <v>4</v>
      </c>
      <c r="E8" s="17">
        <v>380</v>
      </c>
      <c r="F8" s="17">
        <v>2232</v>
      </c>
      <c r="G8" s="26">
        <f t="shared" si="0"/>
        <v>17025.089605734767</v>
      </c>
      <c r="H8" s="17">
        <v>4.2</v>
      </c>
    </row>
    <row r="9" spans="1:8" x14ac:dyDescent="0.35">
      <c r="A9" s="18" t="s">
        <v>56</v>
      </c>
      <c r="B9" s="18" t="s">
        <v>876</v>
      </c>
      <c r="C9" s="18" t="s">
        <v>872</v>
      </c>
      <c r="D9" s="18">
        <v>3</v>
      </c>
      <c r="E9" s="18">
        <v>220</v>
      </c>
      <c r="F9" s="18">
        <v>2184</v>
      </c>
      <c r="G9" s="26">
        <f t="shared" si="0"/>
        <v>10073.260073260073</v>
      </c>
      <c r="H9" s="18"/>
    </row>
    <row r="10" spans="1:8" x14ac:dyDescent="0.35">
      <c r="A10" s="17" t="s">
        <v>877</v>
      </c>
      <c r="B10" s="17" t="s">
        <v>25</v>
      </c>
      <c r="C10" s="17" t="s">
        <v>872</v>
      </c>
      <c r="D10" s="17">
        <v>3</v>
      </c>
      <c r="E10" s="17">
        <v>230</v>
      </c>
      <c r="F10" s="17">
        <v>1771</v>
      </c>
      <c r="G10" s="26">
        <f t="shared" si="0"/>
        <v>12987.012987012988</v>
      </c>
      <c r="H10" s="17">
        <v>3.9</v>
      </c>
    </row>
    <row r="11" spans="1:8" x14ac:dyDescent="0.35">
      <c r="A11" s="18" t="s">
        <v>64</v>
      </c>
      <c r="B11" s="18" t="s">
        <v>878</v>
      </c>
      <c r="C11" s="18" t="s">
        <v>872</v>
      </c>
      <c r="D11" s="18">
        <v>3</v>
      </c>
      <c r="E11" s="18">
        <v>83</v>
      </c>
      <c r="F11" s="18">
        <v>1525</v>
      </c>
      <c r="G11" s="26">
        <f t="shared" si="0"/>
        <v>5442.622950819672</v>
      </c>
      <c r="H11" s="18"/>
    </row>
    <row r="12" spans="1:8" x14ac:dyDescent="0.35">
      <c r="A12" s="17" t="s">
        <v>630</v>
      </c>
      <c r="B12" s="17" t="s">
        <v>11</v>
      </c>
      <c r="C12" s="17" t="s">
        <v>872</v>
      </c>
      <c r="D12" s="17">
        <v>4</v>
      </c>
      <c r="E12" s="17">
        <v>350</v>
      </c>
      <c r="F12" s="17">
        <v>2200</v>
      </c>
      <c r="G12" s="26">
        <f t="shared" si="0"/>
        <v>15909.09090909091</v>
      </c>
      <c r="H12" s="17">
        <v>4.3</v>
      </c>
    </row>
    <row r="13" spans="1:8" x14ac:dyDescent="0.35">
      <c r="A13" s="18" t="s">
        <v>630</v>
      </c>
      <c r="B13" s="18" t="s">
        <v>11</v>
      </c>
      <c r="C13" s="18" t="s">
        <v>872</v>
      </c>
      <c r="D13" s="18">
        <v>4</v>
      </c>
      <c r="E13" s="18">
        <v>370</v>
      </c>
      <c r="F13" s="18">
        <v>2200</v>
      </c>
      <c r="G13" s="26">
        <f t="shared" si="0"/>
        <v>16818.18181818182</v>
      </c>
      <c r="H13" s="18">
        <v>4.3</v>
      </c>
    </row>
    <row r="14" spans="1:8" x14ac:dyDescent="0.35">
      <c r="A14" s="17" t="s">
        <v>879</v>
      </c>
      <c r="B14" s="17" t="s">
        <v>880</v>
      </c>
      <c r="C14" s="17" t="s">
        <v>872</v>
      </c>
      <c r="D14" s="17">
        <v>4</v>
      </c>
      <c r="E14" s="17">
        <v>350</v>
      </c>
      <c r="F14" s="17">
        <v>3504</v>
      </c>
      <c r="G14" s="26">
        <f t="shared" si="0"/>
        <v>9988.5844748858453</v>
      </c>
      <c r="H14" s="17">
        <v>3.8</v>
      </c>
    </row>
    <row r="15" spans="1:8" x14ac:dyDescent="0.35">
      <c r="A15" s="18" t="s">
        <v>329</v>
      </c>
      <c r="B15" s="18" t="s">
        <v>871</v>
      </c>
      <c r="C15" s="18" t="s">
        <v>872</v>
      </c>
      <c r="D15" s="18">
        <v>3</v>
      </c>
      <c r="E15" s="18">
        <v>102</v>
      </c>
      <c r="F15" s="18">
        <v>1405</v>
      </c>
      <c r="G15" s="26">
        <f t="shared" si="0"/>
        <v>7259.7864768683276</v>
      </c>
      <c r="H15" s="18"/>
    </row>
    <row r="16" spans="1:8" x14ac:dyDescent="0.35">
      <c r="A16" s="17" t="s">
        <v>329</v>
      </c>
      <c r="B16" s="17" t="s">
        <v>871</v>
      </c>
      <c r="C16" s="17" t="s">
        <v>872</v>
      </c>
      <c r="D16" s="17">
        <v>3</v>
      </c>
      <c r="E16" s="17">
        <v>108</v>
      </c>
      <c r="F16" s="17">
        <v>1485</v>
      </c>
      <c r="G16" s="26">
        <f t="shared" si="0"/>
        <v>7272.727272727273</v>
      </c>
      <c r="H16" s="17"/>
    </row>
    <row r="17" spans="1:8" x14ac:dyDescent="0.35">
      <c r="A17" s="18" t="s">
        <v>81</v>
      </c>
      <c r="B17" s="18" t="s">
        <v>881</v>
      </c>
      <c r="C17" s="18" t="s">
        <v>872</v>
      </c>
      <c r="D17" s="18">
        <v>2</v>
      </c>
      <c r="E17" s="18">
        <v>122</v>
      </c>
      <c r="F17" s="18">
        <v>1168</v>
      </c>
      <c r="G17" s="26">
        <f t="shared" si="0"/>
        <v>10445.205479452055</v>
      </c>
      <c r="H17" s="18"/>
    </row>
    <row r="18" spans="1:8" x14ac:dyDescent="0.35">
      <c r="A18" s="17" t="s">
        <v>85</v>
      </c>
      <c r="B18" s="17" t="s">
        <v>882</v>
      </c>
      <c r="C18" s="17" t="s">
        <v>872</v>
      </c>
      <c r="D18" s="17">
        <v>2</v>
      </c>
      <c r="E18" s="17">
        <v>127</v>
      </c>
      <c r="F18" s="17">
        <v>1175</v>
      </c>
      <c r="G18" s="26">
        <f t="shared" si="0"/>
        <v>10808.510638297872</v>
      </c>
      <c r="H18" s="17"/>
    </row>
    <row r="19" spans="1:8" x14ac:dyDescent="0.35">
      <c r="A19" s="18" t="s">
        <v>89</v>
      </c>
      <c r="B19" s="18" t="s">
        <v>883</v>
      </c>
      <c r="C19" s="18" t="s">
        <v>872</v>
      </c>
      <c r="D19" s="18">
        <v>2</v>
      </c>
      <c r="E19" s="18">
        <v>112</v>
      </c>
      <c r="F19" s="18">
        <v>1271</v>
      </c>
      <c r="G19" s="26">
        <f t="shared" si="0"/>
        <v>8811.9590873328088</v>
      </c>
      <c r="H19" s="18"/>
    </row>
    <row r="20" spans="1:8" x14ac:dyDescent="0.35">
      <c r="A20" s="17" t="s">
        <v>93</v>
      </c>
      <c r="B20" s="17" t="s">
        <v>884</v>
      </c>
      <c r="C20" s="17" t="s">
        <v>872</v>
      </c>
      <c r="D20" s="17">
        <v>3</v>
      </c>
      <c r="E20" s="17">
        <v>93</v>
      </c>
      <c r="F20" s="17">
        <v>1350</v>
      </c>
      <c r="G20" s="26">
        <f t="shared" si="0"/>
        <v>6888.8888888888887</v>
      </c>
      <c r="H20" s="17"/>
    </row>
    <row r="21" spans="1:8" x14ac:dyDescent="0.35">
      <c r="A21" s="18" t="s">
        <v>93</v>
      </c>
      <c r="B21" s="18" t="s">
        <v>884</v>
      </c>
      <c r="C21" s="18" t="s">
        <v>872</v>
      </c>
      <c r="D21" s="18">
        <v>3</v>
      </c>
      <c r="E21" s="18">
        <v>107</v>
      </c>
      <c r="F21" s="18">
        <v>1485</v>
      </c>
      <c r="G21" s="26">
        <f t="shared" si="0"/>
        <v>7205.3872053872055</v>
      </c>
      <c r="H21" s="18"/>
    </row>
    <row r="22" spans="1:8" x14ac:dyDescent="0.35">
      <c r="A22" s="17" t="s">
        <v>98</v>
      </c>
      <c r="B22" s="17" t="s">
        <v>871</v>
      </c>
      <c r="C22" s="17" t="s">
        <v>872</v>
      </c>
      <c r="D22" s="17">
        <v>3</v>
      </c>
      <c r="E22" s="17">
        <v>240</v>
      </c>
      <c r="F22" s="17">
        <v>1657</v>
      </c>
      <c r="G22" s="26">
        <f t="shared" si="0"/>
        <v>14484.007242003621</v>
      </c>
      <c r="H22" s="17"/>
    </row>
    <row r="23" spans="1:8" x14ac:dyDescent="0.35">
      <c r="A23" s="18" t="s">
        <v>100</v>
      </c>
      <c r="B23" s="18" t="s">
        <v>885</v>
      </c>
      <c r="C23" s="18" t="s">
        <v>872</v>
      </c>
      <c r="D23" s="18">
        <v>3</v>
      </c>
      <c r="E23" s="18">
        <v>215</v>
      </c>
      <c r="F23" s="18">
        <v>1744</v>
      </c>
      <c r="G23" s="26">
        <f t="shared" si="0"/>
        <v>12327.981651376147</v>
      </c>
      <c r="H23" s="18"/>
    </row>
    <row r="24" spans="1:8" x14ac:dyDescent="0.35">
      <c r="A24" s="17" t="s">
        <v>329</v>
      </c>
      <c r="B24" s="17" t="s">
        <v>871</v>
      </c>
      <c r="C24" s="17" t="s">
        <v>872</v>
      </c>
      <c r="D24" s="17">
        <v>2</v>
      </c>
      <c r="E24" s="17">
        <v>75</v>
      </c>
      <c r="F24" s="17">
        <v>1005</v>
      </c>
      <c r="G24" s="26">
        <f t="shared" si="0"/>
        <v>7462.686567164179</v>
      </c>
      <c r="H24" s="17"/>
    </row>
    <row r="25" spans="1:8" x14ac:dyDescent="0.35">
      <c r="A25" s="18" t="s">
        <v>100</v>
      </c>
      <c r="B25" s="18" t="s">
        <v>885</v>
      </c>
      <c r="C25" s="18" t="s">
        <v>872</v>
      </c>
      <c r="D25" s="18">
        <v>3</v>
      </c>
      <c r="E25" s="18">
        <v>230</v>
      </c>
      <c r="F25" s="18">
        <v>1758</v>
      </c>
      <c r="G25" s="26">
        <f t="shared" si="0"/>
        <v>13083.048919226394</v>
      </c>
      <c r="H25" s="18"/>
    </row>
    <row r="26" spans="1:8" x14ac:dyDescent="0.35">
      <c r="A26" s="17" t="s">
        <v>886</v>
      </c>
      <c r="B26" s="17" t="s">
        <v>883</v>
      </c>
      <c r="C26" s="17" t="s">
        <v>872</v>
      </c>
      <c r="D26" s="17">
        <v>2</v>
      </c>
      <c r="E26" s="17">
        <v>360</v>
      </c>
      <c r="F26" s="17">
        <v>1800</v>
      </c>
      <c r="G26" s="26">
        <f t="shared" si="0"/>
        <v>20000</v>
      </c>
      <c r="H26" s="17">
        <v>3.7</v>
      </c>
    </row>
    <row r="27" spans="1:8" x14ac:dyDescent="0.35">
      <c r="A27" s="18" t="s">
        <v>64</v>
      </c>
      <c r="B27" s="18" t="s">
        <v>878</v>
      </c>
      <c r="C27" s="18" t="s">
        <v>872</v>
      </c>
      <c r="D27" s="18">
        <v>2</v>
      </c>
      <c r="E27" s="18">
        <v>66</v>
      </c>
      <c r="F27" s="18">
        <v>1196</v>
      </c>
      <c r="G27" s="26">
        <f t="shared" si="0"/>
        <v>5518.3946488294314</v>
      </c>
      <c r="H27" s="18"/>
    </row>
    <row r="28" spans="1:8" x14ac:dyDescent="0.35">
      <c r="A28" s="17" t="s">
        <v>887</v>
      </c>
      <c r="B28" s="17" t="s">
        <v>888</v>
      </c>
      <c r="C28" s="17" t="s">
        <v>872</v>
      </c>
      <c r="D28" s="17">
        <v>2</v>
      </c>
      <c r="E28" s="17">
        <v>119</v>
      </c>
      <c r="F28" s="17">
        <v>1171</v>
      </c>
      <c r="G28" s="26">
        <f t="shared" si="0"/>
        <v>10162.254483347566</v>
      </c>
      <c r="H28" s="17">
        <v>3.6</v>
      </c>
    </row>
    <row r="29" spans="1:8" x14ac:dyDescent="0.35">
      <c r="A29" s="18" t="s">
        <v>889</v>
      </c>
      <c r="B29" s="18" t="s">
        <v>890</v>
      </c>
      <c r="C29" s="18" t="s">
        <v>872</v>
      </c>
      <c r="D29" s="18">
        <v>3</v>
      </c>
      <c r="E29" s="18">
        <v>77</v>
      </c>
      <c r="F29" s="18">
        <v>1101</v>
      </c>
      <c r="G29" s="26">
        <f t="shared" si="0"/>
        <v>6993.6421435059037</v>
      </c>
      <c r="H29" s="18">
        <v>4.3</v>
      </c>
    </row>
    <row r="30" spans="1:8" x14ac:dyDescent="0.35">
      <c r="A30" s="17" t="s">
        <v>889</v>
      </c>
      <c r="B30" s="17" t="s">
        <v>890</v>
      </c>
      <c r="C30" s="17" t="s">
        <v>872</v>
      </c>
      <c r="D30" s="17">
        <v>2</v>
      </c>
      <c r="E30" s="17">
        <v>67</v>
      </c>
      <c r="F30" s="17">
        <v>880</v>
      </c>
      <c r="G30" s="26">
        <f t="shared" si="0"/>
        <v>7613.636363636364</v>
      </c>
      <c r="H30" s="17">
        <v>4.3</v>
      </c>
    </row>
    <row r="31" spans="1:8" x14ac:dyDescent="0.35">
      <c r="A31" s="18" t="s">
        <v>891</v>
      </c>
      <c r="B31" s="18" t="s">
        <v>892</v>
      </c>
      <c r="C31" s="18" t="s">
        <v>872</v>
      </c>
      <c r="D31" s="18">
        <v>2</v>
      </c>
      <c r="E31" s="18">
        <v>120</v>
      </c>
      <c r="F31" s="18">
        <v>1195</v>
      </c>
      <c r="G31" s="26">
        <f t="shared" si="0"/>
        <v>10041.8410041841</v>
      </c>
      <c r="H31" s="18">
        <v>3.5</v>
      </c>
    </row>
    <row r="32" spans="1:8" x14ac:dyDescent="0.35">
      <c r="A32" s="17" t="s">
        <v>893</v>
      </c>
      <c r="B32" s="17" t="s">
        <v>894</v>
      </c>
      <c r="C32" s="17" t="s">
        <v>872</v>
      </c>
      <c r="D32" s="17">
        <v>3</v>
      </c>
      <c r="E32" s="17">
        <v>255</v>
      </c>
      <c r="F32" s="17">
        <v>1852</v>
      </c>
      <c r="G32" s="26">
        <f t="shared" si="0"/>
        <v>13768.898488120951</v>
      </c>
      <c r="H32" s="17">
        <v>3.7</v>
      </c>
    </row>
    <row r="33" spans="1:8" x14ac:dyDescent="0.35">
      <c r="A33" s="18" t="s">
        <v>132</v>
      </c>
      <c r="B33" s="18" t="s">
        <v>895</v>
      </c>
      <c r="C33" s="18" t="s">
        <v>875</v>
      </c>
      <c r="D33" s="18">
        <v>4</v>
      </c>
      <c r="E33" s="18">
        <v>240</v>
      </c>
      <c r="F33" s="18">
        <v>1900</v>
      </c>
      <c r="G33" s="26">
        <f t="shared" si="0"/>
        <v>12631.578947368422</v>
      </c>
      <c r="H33" s="18"/>
    </row>
    <row r="34" spans="1:8" ht="25" x14ac:dyDescent="0.35">
      <c r="A34" s="17" t="s">
        <v>896</v>
      </c>
      <c r="B34" s="17" t="s">
        <v>897</v>
      </c>
      <c r="C34" s="17" t="s">
        <v>872</v>
      </c>
      <c r="D34" s="17">
        <v>3</v>
      </c>
      <c r="E34" s="17">
        <v>188</v>
      </c>
      <c r="F34" s="17">
        <v>2200</v>
      </c>
      <c r="G34" s="26">
        <f t="shared" si="0"/>
        <v>8545.454545454546</v>
      </c>
      <c r="H34" s="17"/>
    </row>
    <row r="35" spans="1:8" x14ac:dyDescent="0.35">
      <c r="A35" s="18" t="s">
        <v>138</v>
      </c>
      <c r="B35" s="18" t="s">
        <v>871</v>
      </c>
      <c r="C35" s="18" t="s">
        <v>872</v>
      </c>
      <c r="D35" s="18">
        <v>3</v>
      </c>
      <c r="E35" s="18">
        <v>110</v>
      </c>
      <c r="F35" s="18">
        <v>1450</v>
      </c>
      <c r="G35" s="26">
        <f t="shared" si="0"/>
        <v>7586.2068965517237</v>
      </c>
      <c r="H35" s="18"/>
    </row>
    <row r="36" spans="1:8" x14ac:dyDescent="0.35">
      <c r="A36" s="17" t="s">
        <v>141</v>
      </c>
      <c r="B36" s="17" t="s">
        <v>898</v>
      </c>
      <c r="C36" s="17" t="s">
        <v>872</v>
      </c>
      <c r="D36" s="17">
        <v>2</v>
      </c>
      <c r="E36" s="17">
        <v>54</v>
      </c>
      <c r="F36" s="17">
        <v>1053</v>
      </c>
      <c r="G36" s="26">
        <f t="shared" si="0"/>
        <v>5128.2051282051279</v>
      </c>
      <c r="H36" s="17"/>
    </row>
    <row r="37" spans="1:8" x14ac:dyDescent="0.35">
      <c r="A37" s="18" t="s">
        <v>132</v>
      </c>
      <c r="B37" s="18" t="s">
        <v>895</v>
      </c>
      <c r="C37" s="18" t="s">
        <v>875</v>
      </c>
      <c r="D37" s="18">
        <v>4</v>
      </c>
      <c r="E37" s="18">
        <v>250</v>
      </c>
      <c r="F37" s="18">
        <v>1900</v>
      </c>
      <c r="G37" s="26">
        <f t="shared" si="0"/>
        <v>13157.894736842105</v>
      </c>
      <c r="H37" s="18"/>
    </row>
    <row r="38" spans="1:8" x14ac:dyDescent="0.35">
      <c r="A38" s="17" t="s">
        <v>100</v>
      </c>
      <c r="B38" s="17" t="s">
        <v>885</v>
      </c>
      <c r="C38" s="17" t="s">
        <v>872</v>
      </c>
      <c r="D38" s="17">
        <v>2</v>
      </c>
      <c r="E38" s="17">
        <v>130</v>
      </c>
      <c r="F38" s="17">
        <v>1135</v>
      </c>
      <c r="G38" s="26">
        <f t="shared" si="0"/>
        <v>11453.744493392071</v>
      </c>
      <c r="H38" s="17"/>
    </row>
    <row r="39" spans="1:8" x14ac:dyDescent="0.35">
      <c r="A39" s="18" t="s">
        <v>149</v>
      </c>
      <c r="B39" s="18" t="s">
        <v>899</v>
      </c>
      <c r="C39" s="18" t="s">
        <v>872</v>
      </c>
      <c r="D39" s="18">
        <v>3</v>
      </c>
      <c r="E39" s="18">
        <v>330</v>
      </c>
      <c r="F39" s="18">
        <v>2200</v>
      </c>
      <c r="G39" s="26">
        <f t="shared" si="0"/>
        <v>15000</v>
      </c>
      <c r="H39" s="18"/>
    </row>
    <row r="40" spans="1:8" x14ac:dyDescent="0.35">
      <c r="A40" s="17" t="s">
        <v>887</v>
      </c>
      <c r="B40" s="17" t="s">
        <v>888</v>
      </c>
      <c r="C40" s="17" t="s">
        <v>872</v>
      </c>
      <c r="D40" s="17">
        <v>2</v>
      </c>
      <c r="E40" s="17">
        <v>125</v>
      </c>
      <c r="F40" s="17">
        <v>1182</v>
      </c>
      <c r="G40" s="26">
        <f t="shared" si="0"/>
        <v>10575.296108291031</v>
      </c>
      <c r="H40" s="17">
        <v>3.6</v>
      </c>
    </row>
    <row r="41" spans="1:8" x14ac:dyDescent="0.35">
      <c r="A41" s="18" t="s">
        <v>900</v>
      </c>
      <c r="B41" s="18" t="s">
        <v>901</v>
      </c>
      <c r="C41" s="18" t="s">
        <v>872</v>
      </c>
      <c r="D41" s="18">
        <v>3</v>
      </c>
      <c r="E41" s="18">
        <v>130</v>
      </c>
      <c r="F41" s="18">
        <v>1277</v>
      </c>
      <c r="G41" s="26">
        <f t="shared" si="0"/>
        <v>10180.109631949883</v>
      </c>
      <c r="H41" s="18">
        <v>4.0999999999999996</v>
      </c>
    </row>
    <row r="42" spans="1:8" x14ac:dyDescent="0.35">
      <c r="A42" s="17" t="s">
        <v>157</v>
      </c>
      <c r="B42" s="17" t="s">
        <v>871</v>
      </c>
      <c r="C42" s="17" t="s">
        <v>872</v>
      </c>
      <c r="D42" s="17">
        <v>3</v>
      </c>
      <c r="E42" s="17">
        <v>119</v>
      </c>
      <c r="F42" s="17">
        <v>1229</v>
      </c>
      <c r="G42" s="26">
        <f t="shared" si="0"/>
        <v>9682.6688364523998</v>
      </c>
      <c r="H42" s="17"/>
    </row>
    <row r="43" spans="1:8" x14ac:dyDescent="0.35">
      <c r="A43" s="18" t="s">
        <v>159</v>
      </c>
      <c r="B43" s="18" t="s">
        <v>902</v>
      </c>
      <c r="C43" s="18" t="s">
        <v>872</v>
      </c>
      <c r="D43" s="18">
        <v>3</v>
      </c>
      <c r="E43" s="18">
        <v>92</v>
      </c>
      <c r="F43" s="18">
        <v>1365</v>
      </c>
      <c r="G43" s="26">
        <f t="shared" si="0"/>
        <v>6739.9267399267401</v>
      </c>
      <c r="H43" s="18"/>
    </row>
    <row r="44" spans="1:8" x14ac:dyDescent="0.35">
      <c r="A44" s="17" t="s">
        <v>163</v>
      </c>
      <c r="B44" s="17" t="s">
        <v>898</v>
      </c>
      <c r="C44" s="17" t="s">
        <v>872</v>
      </c>
      <c r="D44" s="17">
        <v>2</v>
      </c>
      <c r="E44" s="17">
        <v>55</v>
      </c>
      <c r="F44" s="17">
        <v>1134</v>
      </c>
      <c r="G44" s="26">
        <f t="shared" si="0"/>
        <v>4850.088183421517</v>
      </c>
      <c r="H44" s="17"/>
    </row>
    <row r="45" spans="1:8" x14ac:dyDescent="0.35">
      <c r="A45" s="18" t="s">
        <v>903</v>
      </c>
      <c r="B45" s="18" t="s">
        <v>904</v>
      </c>
      <c r="C45" s="18" t="s">
        <v>872</v>
      </c>
      <c r="D45" s="18">
        <v>2</v>
      </c>
      <c r="E45" s="18">
        <v>53.5</v>
      </c>
      <c r="F45" s="18">
        <v>1185</v>
      </c>
      <c r="G45" s="26">
        <f t="shared" si="0"/>
        <v>4514.7679324894516</v>
      </c>
      <c r="H45" s="18"/>
    </row>
    <row r="46" spans="1:8" x14ac:dyDescent="0.35">
      <c r="A46" s="17" t="s">
        <v>170</v>
      </c>
      <c r="B46" s="17" t="s">
        <v>905</v>
      </c>
      <c r="C46" s="17" t="s">
        <v>872</v>
      </c>
      <c r="D46" s="17">
        <v>3</v>
      </c>
      <c r="E46" s="17">
        <v>143</v>
      </c>
      <c r="F46" s="17">
        <v>1778</v>
      </c>
      <c r="G46" s="26">
        <f t="shared" si="0"/>
        <v>8042.7446569178855</v>
      </c>
      <c r="H46" s="17"/>
    </row>
    <row r="47" spans="1:8" x14ac:dyDescent="0.35">
      <c r="A47" s="18" t="s">
        <v>906</v>
      </c>
      <c r="B47" s="18" t="s">
        <v>907</v>
      </c>
      <c r="C47" s="18" t="s">
        <v>872</v>
      </c>
      <c r="D47" s="18">
        <v>2</v>
      </c>
      <c r="E47" s="18">
        <v>115</v>
      </c>
      <c r="F47" s="18">
        <v>1125</v>
      </c>
      <c r="G47" s="26">
        <f t="shared" si="0"/>
        <v>10222.222222222223</v>
      </c>
      <c r="H47" s="18">
        <v>3.7</v>
      </c>
    </row>
    <row r="48" spans="1:8" x14ac:dyDescent="0.35">
      <c r="A48" s="17" t="s">
        <v>178</v>
      </c>
      <c r="B48" s="17" t="s">
        <v>908</v>
      </c>
      <c r="C48" s="17" t="s">
        <v>872</v>
      </c>
      <c r="D48" s="17">
        <v>3</v>
      </c>
      <c r="E48" s="17">
        <v>230</v>
      </c>
      <c r="F48" s="17">
        <v>1508</v>
      </c>
      <c r="G48" s="26">
        <f t="shared" si="0"/>
        <v>15251.989389920425</v>
      </c>
      <c r="H48" s="17"/>
    </row>
    <row r="49" spans="1:8" x14ac:dyDescent="0.35">
      <c r="A49" s="18" t="s">
        <v>909</v>
      </c>
      <c r="B49" s="18" t="s">
        <v>910</v>
      </c>
      <c r="C49" s="18" t="s">
        <v>872</v>
      </c>
      <c r="D49" s="18">
        <v>2</v>
      </c>
      <c r="E49" s="18">
        <v>95</v>
      </c>
      <c r="F49" s="18">
        <v>960</v>
      </c>
      <c r="G49" s="26">
        <f t="shared" si="0"/>
        <v>9895.8333333333339</v>
      </c>
      <c r="H49" s="18">
        <v>4</v>
      </c>
    </row>
    <row r="50" spans="1:8" x14ac:dyDescent="0.35">
      <c r="A50" s="17" t="s">
        <v>877</v>
      </c>
      <c r="B50" s="17" t="s">
        <v>25</v>
      </c>
      <c r="C50" s="17" t="s">
        <v>872</v>
      </c>
      <c r="D50" s="17">
        <v>4</v>
      </c>
      <c r="E50" s="17">
        <v>278</v>
      </c>
      <c r="F50" s="17">
        <v>1771</v>
      </c>
      <c r="G50" s="26">
        <f t="shared" si="0"/>
        <v>15697.346132128741</v>
      </c>
      <c r="H50" s="17">
        <v>3.9</v>
      </c>
    </row>
    <row r="51" spans="1:8" ht="25" x14ac:dyDescent="0.35">
      <c r="A51" s="18" t="s">
        <v>911</v>
      </c>
      <c r="B51" s="18" t="s">
        <v>22</v>
      </c>
      <c r="C51" s="18" t="s">
        <v>875</v>
      </c>
      <c r="D51" s="18">
        <v>5</v>
      </c>
      <c r="E51" s="18">
        <v>345</v>
      </c>
      <c r="F51" s="18">
        <v>1200</v>
      </c>
      <c r="G51" s="26">
        <f t="shared" si="0"/>
        <v>28750</v>
      </c>
      <c r="H51" s="18"/>
    </row>
    <row r="52" spans="1:8" x14ac:dyDescent="0.35">
      <c r="A52" s="17" t="s">
        <v>891</v>
      </c>
      <c r="B52" s="17" t="s">
        <v>892</v>
      </c>
      <c r="C52" s="17" t="s">
        <v>872</v>
      </c>
      <c r="D52" s="17">
        <v>2</v>
      </c>
      <c r="E52" s="17">
        <v>115</v>
      </c>
      <c r="F52" s="17">
        <v>1195</v>
      </c>
      <c r="G52" s="26">
        <f t="shared" si="0"/>
        <v>9623.4309623430963</v>
      </c>
      <c r="H52" s="17">
        <v>3.5</v>
      </c>
    </row>
    <row r="53" spans="1:8" x14ac:dyDescent="0.35">
      <c r="A53" s="18" t="s">
        <v>93</v>
      </c>
      <c r="B53" s="18" t="s">
        <v>884</v>
      </c>
      <c r="C53" s="18" t="s">
        <v>872</v>
      </c>
      <c r="D53" s="18">
        <v>2</v>
      </c>
      <c r="E53" s="18">
        <v>72</v>
      </c>
      <c r="F53" s="18">
        <v>1040</v>
      </c>
      <c r="G53" s="26">
        <f t="shared" si="0"/>
        <v>6923.0769230769229</v>
      </c>
      <c r="H53" s="18"/>
    </row>
    <row r="54" spans="1:8" x14ac:dyDescent="0.35">
      <c r="A54" s="17" t="s">
        <v>900</v>
      </c>
      <c r="B54" s="17" t="s">
        <v>901</v>
      </c>
      <c r="C54" s="17" t="s">
        <v>872</v>
      </c>
      <c r="D54" s="17">
        <v>3</v>
      </c>
      <c r="E54" s="17">
        <v>132</v>
      </c>
      <c r="F54" s="17">
        <v>1277</v>
      </c>
      <c r="G54" s="26">
        <f t="shared" si="0"/>
        <v>10336.72670321065</v>
      </c>
      <c r="H54" s="17">
        <v>4.0999999999999996</v>
      </c>
    </row>
    <row r="55" spans="1:8" ht="25" x14ac:dyDescent="0.35">
      <c r="A55" s="18" t="s">
        <v>195</v>
      </c>
      <c r="B55" s="18" t="s">
        <v>912</v>
      </c>
      <c r="C55" s="18" t="s">
        <v>872</v>
      </c>
      <c r="D55" s="18">
        <v>2</v>
      </c>
      <c r="E55" s="18">
        <v>110</v>
      </c>
      <c r="F55" s="18">
        <v>720</v>
      </c>
      <c r="G55" s="26">
        <f t="shared" si="0"/>
        <v>15277.777777777777</v>
      </c>
      <c r="H55" s="18"/>
    </row>
    <row r="56" spans="1:8" x14ac:dyDescent="0.35">
      <c r="A56" s="17" t="s">
        <v>913</v>
      </c>
      <c r="B56" s="17" t="s">
        <v>914</v>
      </c>
      <c r="C56" s="17" t="s">
        <v>872</v>
      </c>
      <c r="D56" s="17">
        <v>3</v>
      </c>
      <c r="E56" s="17">
        <v>300</v>
      </c>
      <c r="F56" s="17">
        <v>1864</v>
      </c>
      <c r="G56" s="26">
        <f t="shared" si="0"/>
        <v>16094.42060085837</v>
      </c>
      <c r="H56" s="17">
        <v>4.0999999999999996</v>
      </c>
    </row>
    <row r="57" spans="1:8" x14ac:dyDescent="0.35">
      <c r="A57" s="18" t="s">
        <v>915</v>
      </c>
      <c r="B57" s="18" t="s">
        <v>871</v>
      </c>
      <c r="C57" s="18" t="s">
        <v>872</v>
      </c>
      <c r="D57" s="18">
        <v>3</v>
      </c>
      <c r="E57" s="18">
        <v>255</v>
      </c>
      <c r="F57" s="18">
        <v>1784</v>
      </c>
      <c r="G57" s="26">
        <f t="shared" si="0"/>
        <v>14293.721973094171</v>
      </c>
      <c r="H57" s="18">
        <v>3.8</v>
      </c>
    </row>
    <row r="58" spans="1:8" x14ac:dyDescent="0.35">
      <c r="A58" s="17" t="s">
        <v>85</v>
      </c>
      <c r="B58" s="17" t="s">
        <v>882</v>
      </c>
      <c r="C58" s="17" t="s">
        <v>872</v>
      </c>
      <c r="D58" s="17">
        <v>2</v>
      </c>
      <c r="E58" s="17">
        <v>135</v>
      </c>
      <c r="F58" s="17">
        <v>1305</v>
      </c>
      <c r="G58" s="26">
        <f t="shared" si="0"/>
        <v>10344.827586206897</v>
      </c>
      <c r="H58" s="17"/>
    </row>
    <row r="59" spans="1:8" x14ac:dyDescent="0.35">
      <c r="A59" s="18" t="s">
        <v>916</v>
      </c>
      <c r="B59" s="18" t="s">
        <v>917</v>
      </c>
      <c r="C59" s="18" t="s">
        <v>872</v>
      </c>
      <c r="D59" s="18">
        <v>2</v>
      </c>
      <c r="E59" s="18">
        <v>55</v>
      </c>
      <c r="F59" s="18">
        <v>1005</v>
      </c>
      <c r="G59" s="26">
        <f t="shared" si="0"/>
        <v>5472.6368159203976</v>
      </c>
      <c r="H59" s="18"/>
    </row>
    <row r="60" spans="1:8" x14ac:dyDescent="0.35">
      <c r="A60" s="17" t="s">
        <v>208</v>
      </c>
      <c r="B60" s="17" t="s">
        <v>11</v>
      </c>
      <c r="C60" s="17" t="s">
        <v>872</v>
      </c>
      <c r="D60" s="17">
        <v>2</v>
      </c>
      <c r="E60" s="17">
        <v>77</v>
      </c>
      <c r="F60" s="17">
        <v>1075</v>
      </c>
      <c r="G60" s="26">
        <f t="shared" si="0"/>
        <v>7162.7906976744189</v>
      </c>
      <c r="H60" s="17"/>
    </row>
    <row r="61" spans="1:8" x14ac:dyDescent="0.35">
      <c r="A61" s="18" t="s">
        <v>211</v>
      </c>
      <c r="B61" s="18" t="s">
        <v>918</v>
      </c>
      <c r="C61" s="18" t="s">
        <v>872</v>
      </c>
      <c r="D61" s="18">
        <v>3</v>
      </c>
      <c r="E61" s="18">
        <v>250</v>
      </c>
      <c r="F61" s="18">
        <v>2200</v>
      </c>
      <c r="G61" s="26">
        <f t="shared" si="0"/>
        <v>11363.636363636364</v>
      </c>
      <c r="H61" s="18"/>
    </row>
    <row r="62" spans="1:8" x14ac:dyDescent="0.35">
      <c r="A62" s="17" t="s">
        <v>919</v>
      </c>
      <c r="B62" s="17" t="s">
        <v>920</v>
      </c>
      <c r="C62" s="17" t="s">
        <v>872</v>
      </c>
      <c r="D62" s="17">
        <v>2</v>
      </c>
      <c r="E62" s="17">
        <v>120</v>
      </c>
      <c r="F62" s="17">
        <v>1052</v>
      </c>
      <c r="G62" s="26">
        <f t="shared" si="0"/>
        <v>11406.844106463879</v>
      </c>
      <c r="H62" s="17">
        <v>3.7</v>
      </c>
    </row>
    <row r="63" spans="1:8" x14ac:dyDescent="0.35">
      <c r="A63" s="18" t="s">
        <v>216</v>
      </c>
      <c r="B63" s="18" t="s">
        <v>920</v>
      </c>
      <c r="C63" s="18" t="s">
        <v>872</v>
      </c>
      <c r="D63" s="18">
        <v>2</v>
      </c>
      <c r="E63" s="18">
        <v>126</v>
      </c>
      <c r="F63" s="18">
        <v>1113</v>
      </c>
      <c r="G63" s="26">
        <f t="shared" si="0"/>
        <v>11320.754716981131</v>
      </c>
      <c r="H63" s="18"/>
    </row>
    <row r="64" spans="1:8" x14ac:dyDescent="0.35">
      <c r="A64" s="17" t="s">
        <v>219</v>
      </c>
      <c r="B64" s="17" t="s">
        <v>921</v>
      </c>
      <c r="C64" s="17" t="s">
        <v>872</v>
      </c>
      <c r="D64" s="17">
        <v>3</v>
      </c>
      <c r="E64" s="17">
        <v>145</v>
      </c>
      <c r="F64" s="17">
        <v>1459</v>
      </c>
      <c r="G64" s="26">
        <f t="shared" si="0"/>
        <v>9938.3139136394784</v>
      </c>
      <c r="H64" s="17"/>
    </row>
    <row r="65" spans="1:8" x14ac:dyDescent="0.35">
      <c r="A65" s="18" t="s">
        <v>870</v>
      </c>
      <c r="B65" s="18" t="s">
        <v>871</v>
      </c>
      <c r="C65" s="18" t="s">
        <v>872</v>
      </c>
      <c r="D65" s="18">
        <v>3</v>
      </c>
      <c r="E65" s="18">
        <v>320</v>
      </c>
      <c r="F65" s="18">
        <v>1804</v>
      </c>
      <c r="G65" s="26">
        <f t="shared" si="0"/>
        <v>17738.359201773837</v>
      </c>
      <c r="H65" s="18">
        <v>4.2</v>
      </c>
    </row>
    <row r="66" spans="1:8" x14ac:dyDescent="0.35">
      <c r="A66" s="17" t="s">
        <v>225</v>
      </c>
      <c r="B66" s="17" t="s">
        <v>922</v>
      </c>
      <c r="C66" s="17" t="s">
        <v>872</v>
      </c>
      <c r="D66" s="17">
        <v>2</v>
      </c>
      <c r="E66" s="17">
        <v>86.71</v>
      </c>
      <c r="F66" s="17">
        <v>1196</v>
      </c>
      <c r="G66" s="26">
        <f t="shared" si="0"/>
        <v>7250</v>
      </c>
      <c r="H66" s="17"/>
    </row>
    <row r="67" spans="1:8" x14ac:dyDescent="0.35">
      <c r="A67" s="18" t="s">
        <v>923</v>
      </c>
      <c r="B67" s="18" t="s">
        <v>898</v>
      </c>
      <c r="C67" s="18" t="s">
        <v>872</v>
      </c>
      <c r="D67" s="18">
        <v>2</v>
      </c>
      <c r="E67" s="18">
        <v>49</v>
      </c>
      <c r="F67" s="18">
        <v>918</v>
      </c>
      <c r="G67" s="26">
        <f t="shared" si="0"/>
        <v>5337.6906318082792</v>
      </c>
      <c r="H67" s="18"/>
    </row>
    <row r="68" spans="1:8" x14ac:dyDescent="0.35">
      <c r="A68" s="17" t="s">
        <v>924</v>
      </c>
      <c r="B68" s="17" t="s">
        <v>925</v>
      </c>
      <c r="C68" s="17" t="s">
        <v>872</v>
      </c>
      <c r="D68" s="17">
        <v>2</v>
      </c>
      <c r="E68" s="17">
        <v>164</v>
      </c>
      <c r="F68" s="17">
        <v>1370</v>
      </c>
      <c r="G68" s="26">
        <f t="shared" si="0"/>
        <v>11970.802919708029</v>
      </c>
      <c r="H68" s="17">
        <v>4</v>
      </c>
    </row>
    <row r="69" spans="1:8" ht="25" x14ac:dyDescent="0.35">
      <c r="A69" s="18" t="s">
        <v>49</v>
      </c>
      <c r="B69" s="18" t="s">
        <v>874</v>
      </c>
      <c r="C69" s="18" t="s">
        <v>875</v>
      </c>
      <c r="D69" s="18">
        <v>4</v>
      </c>
      <c r="E69" s="18">
        <v>490</v>
      </c>
      <c r="F69" s="18">
        <v>1500</v>
      </c>
      <c r="G69" s="26">
        <f t="shared" ref="G69:G132" si="1" xml:space="preserve"> (E69 * 100000) / F69</f>
        <v>32666.666666666668</v>
      </c>
      <c r="H69" s="18"/>
    </row>
    <row r="70" spans="1:8" x14ac:dyDescent="0.35">
      <c r="A70" s="17" t="s">
        <v>236</v>
      </c>
      <c r="B70" s="17" t="s">
        <v>926</v>
      </c>
      <c r="C70" s="17" t="s">
        <v>872</v>
      </c>
      <c r="D70" s="17">
        <v>3</v>
      </c>
      <c r="E70" s="17">
        <v>490</v>
      </c>
      <c r="F70" s="17">
        <v>2204</v>
      </c>
      <c r="G70" s="26">
        <f t="shared" si="1"/>
        <v>22232.304900181487</v>
      </c>
      <c r="H70" s="17"/>
    </row>
    <row r="71" spans="1:8" x14ac:dyDescent="0.35">
      <c r="A71" s="18" t="s">
        <v>239</v>
      </c>
      <c r="B71" s="18" t="s">
        <v>876</v>
      </c>
      <c r="C71" s="18" t="s">
        <v>872</v>
      </c>
      <c r="D71" s="18">
        <v>3</v>
      </c>
      <c r="E71" s="18">
        <v>161</v>
      </c>
      <c r="F71" s="18">
        <v>1725</v>
      </c>
      <c r="G71" s="26">
        <f t="shared" si="1"/>
        <v>9333.3333333333339</v>
      </c>
      <c r="H71" s="18"/>
    </row>
    <row r="72" spans="1:8" x14ac:dyDescent="0.35">
      <c r="A72" s="17" t="s">
        <v>242</v>
      </c>
      <c r="B72" s="17" t="s">
        <v>927</v>
      </c>
      <c r="C72" s="17" t="s">
        <v>872</v>
      </c>
      <c r="D72" s="17">
        <v>2</v>
      </c>
      <c r="E72" s="17">
        <v>125</v>
      </c>
      <c r="F72" s="17">
        <v>1295</v>
      </c>
      <c r="G72" s="26">
        <f t="shared" si="1"/>
        <v>9652.5096525096524</v>
      </c>
      <c r="H72" s="17"/>
    </row>
    <row r="73" spans="1:8" x14ac:dyDescent="0.35">
      <c r="A73" s="18" t="s">
        <v>928</v>
      </c>
      <c r="B73" s="18" t="s">
        <v>929</v>
      </c>
      <c r="C73" s="18" t="s">
        <v>872</v>
      </c>
      <c r="D73" s="18">
        <v>2</v>
      </c>
      <c r="E73" s="18">
        <v>125</v>
      </c>
      <c r="F73" s="18">
        <v>1012</v>
      </c>
      <c r="G73" s="26">
        <f t="shared" si="1"/>
        <v>12351.778656126482</v>
      </c>
      <c r="H73" s="18">
        <v>4.2</v>
      </c>
    </row>
    <row r="74" spans="1:8" x14ac:dyDescent="0.35">
      <c r="A74" s="17" t="s">
        <v>216</v>
      </c>
      <c r="B74" s="17" t="s">
        <v>920</v>
      </c>
      <c r="C74" s="17" t="s">
        <v>872</v>
      </c>
      <c r="D74" s="17">
        <v>2</v>
      </c>
      <c r="E74" s="17">
        <v>120</v>
      </c>
      <c r="F74" s="17">
        <v>1098</v>
      </c>
      <c r="G74" s="26">
        <f t="shared" si="1"/>
        <v>10928.961748633879</v>
      </c>
      <c r="H74" s="17"/>
    </row>
    <row r="75" spans="1:8" x14ac:dyDescent="0.35">
      <c r="A75" s="18" t="s">
        <v>900</v>
      </c>
      <c r="B75" s="18" t="s">
        <v>901</v>
      </c>
      <c r="C75" s="18" t="s">
        <v>872</v>
      </c>
      <c r="D75" s="18">
        <v>3</v>
      </c>
      <c r="E75" s="18">
        <v>172</v>
      </c>
      <c r="F75" s="18">
        <v>1562</v>
      </c>
      <c r="G75" s="26">
        <f t="shared" si="1"/>
        <v>11011.523687580026</v>
      </c>
      <c r="H75" s="18">
        <v>4.0999999999999996</v>
      </c>
    </row>
    <row r="76" spans="1:8" x14ac:dyDescent="0.35">
      <c r="A76" s="17" t="s">
        <v>900</v>
      </c>
      <c r="B76" s="17" t="s">
        <v>901</v>
      </c>
      <c r="C76" s="17" t="s">
        <v>872</v>
      </c>
      <c r="D76" s="17">
        <v>3</v>
      </c>
      <c r="E76" s="17">
        <v>138</v>
      </c>
      <c r="F76" s="17">
        <v>1224</v>
      </c>
      <c r="G76" s="26">
        <f t="shared" si="1"/>
        <v>11274.509803921568</v>
      </c>
      <c r="H76" s="17">
        <v>4.0999999999999996</v>
      </c>
    </row>
    <row r="77" spans="1:8" x14ac:dyDescent="0.35">
      <c r="A77" s="18" t="s">
        <v>253</v>
      </c>
      <c r="B77" s="18" t="s">
        <v>930</v>
      </c>
      <c r="C77" s="18" t="s">
        <v>872</v>
      </c>
      <c r="D77" s="18">
        <v>2</v>
      </c>
      <c r="E77" s="18">
        <v>65</v>
      </c>
      <c r="F77" s="18">
        <v>950</v>
      </c>
      <c r="G77" s="26">
        <f t="shared" si="1"/>
        <v>6842.105263157895</v>
      </c>
      <c r="H77" s="18"/>
    </row>
    <row r="78" spans="1:8" x14ac:dyDescent="0.35">
      <c r="A78" s="17" t="s">
        <v>931</v>
      </c>
      <c r="B78" s="17" t="s">
        <v>932</v>
      </c>
      <c r="C78" s="17" t="s">
        <v>872</v>
      </c>
      <c r="D78" s="17">
        <v>3</v>
      </c>
      <c r="E78" s="17">
        <v>265</v>
      </c>
      <c r="F78" s="17">
        <v>2399</v>
      </c>
      <c r="G78" s="26">
        <f t="shared" si="1"/>
        <v>11046.269278866193</v>
      </c>
      <c r="H78" s="17"/>
    </row>
    <row r="79" spans="1:8" x14ac:dyDescent="0.35">
      <c r="A79" s="18" t="s">
        <v>933</v>
      </c>
      <c r="B79" s="18" t="s">
        <v>934</v>
      </c>
      <c r="C79" s="18" t="s">
        <v>872</v>
      </c>
      <c r="D79" s="18">
        <v>3</v>
      </c>
      <c r="E79" s="18">
        <v>105</v>
      </c>
      <c r="F79" s="18">
        <v>1550</v>
      </c>
      <c r="G79" s="26">
        <f t="shared" si="1"/>
        <v>6774.1935483870966</v>
      </c>
      <c r="H79" s="18">
        <v>4</v>
      </c>
    </row>
    <row r="80" spans="1:8" x14ac:dyDescent="0.35">
      <c r="A80" s="17" t="s">
        <v>935</v>
      </c>
      <c r="B80" s="17" t="s">
        <v>11</v>
      </c>
      <c r="C80" s="17" t="s">
        <v>872</v>
      </c>
      <c r="D80" s="17">
        <v>3</v>
      </c>
      <c r="E80" s="17">
        <v>407</v>
      </c>
      <c r="F80" s="17">
        <v>2292</v>
      </c>
      <c r="G80" s="26">
        <f t="shared" si="1"/>
        <v>17757.41710296684</v>
      </c>
      <c r="H80" s="17">
        <v>4.5</v>
      </c>
    </row>
    <row r="81" spans="1:8" x14ac:dyDescent="0.35">
      <c r="A81" s="18" t="s">
        <v>936</v>
      </c>
      <c r="B81" s="18" t="s">
        <v>937</v>
      </c>
      <c r="C81" s="18" t="s">
        <v>872</v>
      </c>
      <c r="D81" s="18">
        <v>3</v>
      </c>
      <c r="E81" s="18">
        <v>58</v>
      </c>
      <c r="F81" s="18">
        <v>1255</v>
      </c>
      <c r="G81" s="26">
        <f t="shared" si="1"/>
        <v>4621.5139442231075</v>
      </c>
      <c r="H81" s="18"/>
    </row>
    <row r="82" spans="1:8" x14ac:dyDescent="0.35">
      <c r="A82" s="17" t="s">
        <v>271</v>
      </c>
      <c r="B82" s="17" t="s">
        <v>898</v>
      </c>
      <c r="C82" s="17" t="s">
        <v>872</v>
      </c>
      <c r="D82" s="17">
        <v>2</v>
      </c>
      <c r="E82" s="17">
        <v>49.81</v>
      </c>
      <c r="F82" s="17">
        <v>945</v>
      </c>
      <c r="G82" s="26">
        <f t="shared" si="1"/>
        <v>5270.8994708994705</v>
      </c>
      <c r="H82" s="17"/>
    </row>
    <row r="83" spans="1:8" x14ac:dyDescent="0.35">
      <c r="A83" s="18" t="s">
        <v>416</v>
      </c>
      <c r="B83" s="18" t="s">
        <v>882</v>
      </c>
      <c r="C83" s="18" t="s">
        <v>872</v>
      </c>
      <c r="D83" s="18">
        <v>2</v>
      </c>
      <c r="E83" s="18">
        <v>55</v>
      </c>
      <c r="F83" s="18">
        <v>1185</v>
      </c>
      <c r="G83" s="26">
        <f t="shared" si="1"/>
        <v>4641.3502109704641</v>
      </c>
      <c r="H83" s="18">
        <v>3.9</v>
      </c>
    </row>
    <row r="84" spans="1:8" x14ac:dyDescent="0.35">
      <c r="A84" s="17" t="s">
        <v>938</v>
      </c>
      <c r="B84" s="17" t="s">
        <v>939</v>
      </c>
      <c r="C84" s="17" t="s">
        <v>872</v>
      </c>
      <c r="D84" s="17">
        <v>3</v>
      </c>
      <c r="E84" s="17">
        <v>450</v>
      </c>
      <c r="F84" s="17">
        <v>2200</v>
      </c>
      <c r="G84" s="26">
        <f t="shared" si="1"/>
        <v>20454.545454545456</v>
      </c>
      <c r="H84" s="17"/>
    </row>
    <row r="85" spans="1:8" x14ac:dyDescent="0.35">
      <c r="A85" s="18" t="s">
        <v>933</v>
      </c>
      <c r="B85" s="18" t="s">
        <v>934</v>
      </c>
      <c r="C85" s="18" t="s">
        <v>872</v>
      </c>
      <c r="D85" s="18">
        <v>3</v>
      </c>
      <c r="E85" s="18">
        <v>100</v>
      </c>
      <c r="F85" s="18">
        <v>1300</v>
      </c>
      <c r="G85" s="26">
        <f t="shared" si="1"/>
        <v>7692.3076923076924</v>
      </c>
      <c r="H85" s="18">
        <v>4</v>
      </c>
    </row>
    <row r="86" spans="1:8" x14ac:dyDescent="0.35">
      <c r="A86" s="17" t="s">
        <v>940</v>
      </c>
      <c r="B86" s="17" t="s">
        <v>941</v>
      </c>
      <c r="C86" s="17" t="s">
        <v>872</v>
      </c>
      <c r="D86" s="17">
        <v>3</v>
      </c>
      <c r="E86" s="17">
        <v>106</v>
      </c>
      <c r="F86" s="17">
        <v>1456</v>
      </c>
      <c r="G86" s="26">
        <f t="shared" si="1"/>
        <v>7280.2197802197807</v>
      </c>
      <c r="H86" s="17"/>
    </row>
    <row r="87" spans="1:8" x14ac:dyDescent="0.35">
      <c r="A87" s="18" t="s">
        <v>284</v>
      </c>
      <c r="B87" s="18" t="s">
        <v>942</v>
      </c>
      <c r="C87" s="18" t="s">
        <v>872</v>
      </c>
      <c r="D87" s="18">
        <v>3</v>
      </c>
      <c r="E87" s="18">
        <v>99</v>
      </c>
      <c r="F87" s="18">
        <v>1485</v>
      </c>
      <c r="G87" s="26">
        <f t="shared" si="1"/>
        <v>6666.666666666667</v>
      </c>
      <c r="H87" s="18"/>
    </row>
    <row r="88" spans="1:8" x14ac:dyDescent="0.35">
      <c r="A88" s="17" t="s">
        <v>943</v>
      </c>
      <c r="B88" s="17" t="s">
        <v>944</v>
      </c>
      <c r="C88" s="17" t="s">
        <v>872</v>
      </c>
      <c r="D88" s="17">
        <v>3</v>
      </c>
      <c r="E88" s="17">
        <v>145</v>
      </c>
      <c r="F88" s="17">
        <v>1710</v>
      </c>
      <c r="G88" s="26">
        <f t="shared" si="1"/>
        <v>8479.5321637426896</v>
      </c>
      <c r="H88" s="17">
        <v>3.9</v>
      </c>
    </row>
    <row r="89" spans="1:8" x14ac:dyDescent="0.35">
      <c r="A89" s="18" t="s">
        <v>916</v>
      </c>
      <c r="B89" s="18" t="s">
        <v>917</v>
      </c>
      <c r="C89" s="18" t="s">
        <v>872</v>
      </c>
      <c r="D89" s="18">
        <v>2</v>
      </c>
      <c r="E89" s="18">
        <v>54</v>
      </c>
      <c r="F89" s="18">
        <v>988</v>
      </c>
      <c r="G89" s="26">
        <f t="shared" si="1"/>
        <v>5465.5870445344126</v>
      </c>
      <c r="H89" s="18"/>
    </row>
    <row r="90" spans="1:8" x14ac:dyDescent="0.35">
      <c r="A90" s="17" t="s">
        <v>89</v>
      </c>
      <c r="B90" s="17" t="s">
        <v>883</v>
      </c>
      <c r="C90" s="17" t="s">
        <v>872</v>
      </c>
      <c r="D90" s="17">
        <v>2</v>
      </c>
      <c r="E90" s="17">
        <v>109</v>
      </c>
      <c r="F90" s="17">
        <v>1258</v>
      </c>
      <c r="G90" s="26">
        <f t="shared" si="1"/>
        <v>8664.5468998410179</v>
      </c>
      <c r="H90" s="17"/>
    </row>
    <row r="91" spans="1:8" x14ac:dyDescent="0.35">
      <c r="A91" s="18" t="s">
        <v>931</v>
      </c>
      <c r="B91" s="18" t="s">
        <v>945</v>
      </c>
      <c r="C91" s="18" t="s">
        <v>872</v>
      </c>
      <c r="D91" s="18">
        <v>3</v>
      </c>
      <c r="E91" s="18">
        <v>265</v>
      </c>
      <c r="F91" s="18">
        <v>2401</v>
      </c>
      <c r="G91" s="26">
        <f t="shared" si="1"/>
        <v>11037.067888379841</v>
      </c>
      <c r="H91" s="18"/>
    </row>
    <row r="92" spans="1:8" x14ac:dyDescent="0.35">
      <c r="A92" s="17" t="s">
        <v>64</v>
      </c>
      <c r="B92" s="17" t="s">
        <v>878</v>
      </c>
      <c r="C92" s="17" t="s">
        <v>872</v>
      </c>
      <c r="D92" s="17">
        <v>2</v>
      </c>
      <c r="E92" s="17">
        <v>76</v>
      </c>
      <c r="F92" s="17">
        <v>1395</v>
      </c>
      <c r="G92" s="26">
        <f t="shared" si="1"/>
        <v>5448.0286738351251</v>
      </c>
      <c r="H92" s="17"/>
    </row>
    <row r="93" spans="1:8" x14ac:dyDescent="0.35">
      <c r="A93" s="18" t="s">
        <v>298</v>
      </c>
      <c r="B93" s="18" t="s">
        <v>946</v>
      </c>
      <c r="C93" s="18" t="s">
        <v>872</v>
      </c>
      <c r="D93" s="18">
        <v>3</v>
      </c>
      <c r="E93" s="18">
        <v>86</v>
      </c>
      <c r="F93" s="18">
        <v>1250</v>
      </c>
      <c r="G93" s="26">
        <f t="shared" si="1"/>
        <v>6880</v>
      </c>
      <c r="H93" s="18"/>
    </row>
    <row r="94" spans="1:8" x14ac:dyDescent="0.35">
      <c r="A94" s="17" t="s">
        <v>947</v>
      </c>
      <c r="B94" s="17" t="s">
        <v>23</v>
      </c>
      <c r="C94" s="17" t="s">
        <v>872</v>
      </c>
      <c r="D94" s="17">
        <v>2</v>
      </c>
      <c r="E94" s="17">
        <v>155</v>
      </c>
      <c r="F94" s="17">
        <v>1240</v>
      </c>
      <c r="G94" s="26">
        <f t="shared" si="1"/>
        <v>12500</v>
      </c>
      <c r="H94" s="17">
        <v>3.7</v>
      </c>
    </row>
    <row r="95" spans="1:8" x14ac:dyDescent="0.35">
      <c r="A95" s="18" t="s">
        <v>933</v>
      </c>
      <c r="B95" s="18" t="s">
        <v>934</v>
      </c>
      <c r="C95" s="18" t="s">
        <v>872</v>
      </c>
      <c r="D95" s="18">
        <v>1</v>
      </c>
      <c r="E95" s="18">
        <v>56</v>
      </c>
      <c r="F95" s="18">
        <v>800</v>
      </c>
      <c r="G95" s="26">
        <f t="shared" si="1"/>
        <v>7000</v>
      </c>
      <c r="H95" s="18">
        <v>4</v>
      </c>
    </row>
    <row r="96" spans="1:8" ht="25" x14ac:dyDescent="0.35">
      <c r="A96" s="17" t="s">
        <v>948</v>
      </c>
      <c r="B96" s="17" t="s">
        <v>883</v>
      </c>
      <c r="C96" s="17" t="s">
        <v>872</v>
      </c>
      <c r="D96" s="17">
        <v>4</v>
      </c>
      <c r="E96" s="17">
        <v>284</v>
      </c>
      <c r="F96" s="17">
        <v>2204</v>
      </c>
      <c r="G96" s="26">
        <f t="shared" si="1"/>
        <v>12885.662431941924</v>
      </c>
      <c r="H96" s="17">
        <v>4.4000000000000004</v>
      </c>
    </row>
    <row r="97" spans="1:8" x14ac:dyDescent="0.35">
      <c r="A97" s="18" t="s">
        <v>312</v>
      </c>
      <c r="B97" s="18" t="s">
        <v>949</v>
      </c>
      <c r="C97" s="18" t="s">
        <v>872</v>
      </c>
      <c r="D97" s="18">
        <v>2</v>
      </c>
      <c r="E97" s="18">
        <v>75</v>
      </c>
      <c r="F97" s="18">
        <v>1210</v>
      </c>
      <c r="G97" s="26">
        <f t="shared" si="1"/>
        <v>6198.3471074380168</v>
      </c>
      <c r="H97" s="18"/>
    </row>
    <row r="98" spans="1:8" x14ac:dyDescent="0.35">
      <c r="A98" s="17" t="s">
        <v>950</v>
      </c>
      <c r="B98" s="17" t="s">
        <v>885</v>
      </c>
      <c r="C98" s="17" t="s">
        <v>872</v>
      </c>
      <c r="D98" s="17">
        <v>3</v>
      </c>
      <c r="E98" s="17">
        <v>109</v>
      </c>
      <c r="F98" s="17">
        <v>1560</v>
      </c>
      <c r="G98" s="26">
        <f t="shared" si="1"/>
        <v>6987.1794871794873</v>
      </c>
      <c r="H98" s="17"/>
    </row>
    <row r="99" spans="1:8" x14ac:dyDescent="0.35">
      <c r="A99" s="18" t="s">
        <v>951</v>
      </c>
      <c r="B99" s="18" t="s">
        <v>952</v>
      </c>
      <c r="C99" s="18" t="s">
        <v>872</v>
      </c>
      <c r="D99" s="18">
        <v>2</v>
      </c>
      <c r="E99" s="18">
        <v>91.43</v>
      </c>
      <c r="F99" s="18">
        <v>1219</v>
      </c>
      <c r="G99" s="26">
        <f t="shared" si="1"/>
        <v>7500.4101722723544</v>
      </c>
      <c r="H99" s="18"/>
    </row>
    <row r="100" spans="1:8" x14ac:dyDescent="0.35">
      <c r="A100" s="17" t="s">
        <v>951</v>
      </c>
      <c r="B100" s="17" t="s">
        <v>952</v>
      </c>
      <c r="C100" s="17" t="s">
        <v>872</v>
      </c>
      <c r="D100" s="17">
        <v>2</v>
      </c>
      <c r="E100" s="17">
        <v>87</v>
      </c>
      <c r="F100" s="17">
        <v>1160</v>
      </c>
      <c r="G100" s="26">
        <f t="shared" si="1"/>
        <v>7500</v>
      </c>
      <c r="H100" s="17"/>
    </row>
    <row r="101" spans="1:8" x14ac:dyDescent="0.35">
      <c r="A101" s="18" t="s">
        <v>950</v>
      </c>
      <c r="B101" s="18" t="s">
        <v>885</v>
      </c>
      <c r="C101" s="18" t="s">
        <v>872</v>
      </c>
      <c r="D101" s="18">
        <v>3</v>
      </c>
      <c r="E101" s="18">
        <v>102</v>
      </c>
      <c r="F101" s="18">
        <v>1500</v>
      </c>
      <c r="G101" s="26">
        <f t="shared" si="1"/>
        <v>6800</v>
      </c>
      <c r="H101" s="18"/>
    </row>
    <row r="102" spans="1:8" x14ac:dyDescent="0.35">
      <c r="A102" s="17" t="s">
        <v>93</v>
      </c>
      <c r="B102" s="17" t="s">
        <v>953</v>
      </c>
      <c r="C102" s="17" t="s">
        <v>872</v>
      </c>
      <c r="D102" s="17">
        <v>2</v>
      </c>
      <c r="E102" s="17">
        <v>95</v>
      </c>
      <c r="F102" s="17">
        <v>1245</v>
      </c>
      <c r="G102" s="26">
        <f t="shared" si="1"/>
        <v>7630.5220883534139</v>
      </c>
      <c r="H102" s="17"/>
    </row>
    <row r="103" spans="1:8" x14ac:dyDescent="0.35">
      <c r="A103" s="18" t="s">
        <v>329</v>
      </c>
      <c r="B103" s="18" t="s">
        <v>954</v>
      </c>
      <c r="C103" s="18" t="s">
        <v>872</v>
      </c>
      <c r="D103" s="18">
        <v>3</v>
      </c>
      <c r="E103" s="18">
        <v>98</v>
      </c>
      <c r="F103" s="18">
        <v>1350</v>
      </c>
      <c r="G103" s="26">
        <f t="shared" si="1"/>
        <v>7259.2592592592591</v>
      </c>
      <c r="H103" s="18"/>
    </row>
    <row r="104" spans="1:8" x14ac:dyDescent="0.35">
      <c r="A104" s="17" t="s">
        <v>93</v>
      </c>
      <c r="B104" s="17" t="s">
        <v>884</v>
      </c>
      <c r="C104" s="17" t="s">
        <v>872</v>
      </c>
      <c r="D104" s="17">
        <v>3</v>
      </c>
      <c r="E104" s="17">
        <v>101</v>
      </c>
      <c r="F104" s="17">
        <v>1395</v>
      </c>
      <c r="G104" s="26">
        <f t="shared" si="1"/>
        <v>7240.1433691756274</v>
      </c>
      <c r="H104" s="17"/>
    </row>
    <row r="105" spans="1:8" x14ac:dyDescent="0.35">
      <c r="A105" s="18" t="s">
        <v>93</v>
      </c>
      <c r="B105" s="18" t="s">
        <v>871</v>
      </c>
      <c r="C105" s="18" t="s">
        <v>872</v>
      </c>
      <c r="D105" s="18">
        <v>2</v>
      </c>
      <c r="E105" s="18">
        <v>86.55</v>
      </c>
      <c r="F105" s="18">
        <v>1245</v>
      </c>
      <c r="G105" s="26">
        <f t="shared" si="1"/>
        <v>6951.8072289156626</v>
      </c>
      <c r="H105" s="18"/>
    </row>
    <row r="106" spans="1:8" x14ac:dyDescent="0.35">
      <c r="A106" s="17" t="s">
        <v>93</v>
      </c>
      <c r="B106" s="17" t="s">
        <v>871</v>
      </c>
      <c r="C106" s="17" t="s">
        <v>872</v>
      </c>
      <c r="D106" s="17">
        <v>3</v>
      </c>
      <c r="E106" s="17">
        <v>105</v>
      </c>
      <c r="F106" s="17">
        <v>1485</v>
      </c>
      <c r="G106" s="26">
        <f t="shared" si="1"/>
        <v>7070.7070707070707</v>
      </c>
      <c r="H106" s="17"/>
    </row>
    <row r="107" spans="1:8" x14ac:dyDescent="0.35">
      <c r="A107" s="18" t="s">
        <v>329</v>
      </c>
      <c r="B107" s="18" t="s">
        <v>884</v>
      </c>
      <c r="C107" s="18" t="s">
        <v>872</v>
      </c>
      <c r="D107" s="18">
        <v>3</v>
      </c>
      <c r="E107" s="18">
        <v>105</v>
      </c>
      <c r="F107" s="18">
        <v>1485</v>
      </c>
      <c r="G107" s="26">
        <f t="shared" si="1"/>
        <v>7070.7070707070707</v>
      </c>
      <c r="H107" s="18"/>
    </row>
    <row r="108" spans="1:8" x14ac:dyDescent="0.35">
      <c r="A108" s="17" t="s">
        <v>329</v>
      </c>
      <c r="B108" s="17" t="s">
        <v>954</v>
      </c>
      <c r="C108" s="17" t="s">
        <v>872</v>
      </c>
      <c r="D108" s="17">
        <v>2</v>
      </c>
      <c r="E108" s="17">
        <v>84.5</v>
      </c>
      <c r="F108" s="17">
        <v>1160</v>
      </c>
      <c r="G108" s="26">
        <f t="shared" si="1"/>
        <v>7284.4827586206893</v>
      </c>
      <c r="H108" s="17"/>
    </row>
    <row r="109" spans="1:8" x14ac:dyDescent="0.35">
      <c r="A109" s="18" t="s">
        <v>93</v>
      </c>
      <c r="B109" s="18" t="s">
        <v>871</v>
      </c>
      <c r="C109" s="18" t="s">
        <v>872</v>
      </c>
      <c r="D109" s="18">
        <v>3</v>
      </c>
      <c r="E109" s="18">
        <v>99</v>
      </c>
      <c r="F109" s="18">
        <v>1395</v>
      </c>
      <c r="G109" s="26">
        <f t="shared" si="1"/>
        <v>7096.7741935483873</v>
      </c>
      <c r="H109" s="18"/>
    </row>
    <row r="110" spans="1:8" x14ac:dyDescent="0.35">
      <c r="A110" s="17" t="s">
        <v>916</v>
      </c>
      <c r="B110" s="17" t="s">
        <v>917</v>
      </c>
      <c r="C110" s="17" t="s">
        <v>872</v>
      </c>
      <c r="D110" s="17">
        <v>2</v>
      </c>
      <c r="E110" s="17">
        <v>55</v>
      </c>
      <c r="F110" s="17">
        <v>1005</v>
      </c>
      <c r="G110" s="26">
        <f t="shared" si="1"/>
        <v>5472.6368159203976</v>
      </c>
      <c r="H110" s="17"/>
    </row>
    <row r="111" spans="1:8" x14ac:dyDescent="0.35">
      <c r="A111" s="18" t="s">
        <v>916</v>
      </c>
      <c r="B111" s="18" t="s">
        <v>917</v>
      </c>
      <c r="C111" s="18" t="s">
        <v>872</v>
      </c>
      <c r="D111" s="18">
        <v>2</v>
      </c>
      <c r="E111" s="18">
        <v>55</v>
      </c>
      <c r="F111" s="18">
        <v>1005</v>
      </c>
      <c r="G111" s="26">
        <f t="shared" si="1"/>
        <v>5472.6368159203976</v>
      </c>
      <c r="H111" s="18"/>
    </row>
    <row r="112" spans="1:8" x14ac:dyDescent="0.35">
      <c r="A112" s="17" t="s">
        <v>916</v>
      </c>
      <c r="B112" s="17" t="s">
        <v>917</v>
      </c>
      <c r="C112" s="17" t="s">
        <v>872</v>
      </c>
      <c r="D112" s="17">
        <v>2</v>
      </c>
      <c r="E112" s="17">
        <v>55</v>
      </c>
      <c r="F112" s="17">
        <v>1008</v>
      </c>
      <c r="G112" s="26">
        <f t="shared" si="1"/>
        <v>5456.3492063492067</v>
      </c>
      <c r="H112" s="17"/>
    </row>
    <row r="113" spans="1:8" x14ac:dyDescent="0.35">
      <c r="A113" s="18" t="s">
        <v>340</v>
      </c>
      <c r="B113" s="18" t="s">
        <v>955</v>
      </c>
      <c r="C113" s="18" t="s">
        <v>872</v>
      </c>
      <c r="D113" s="18">
        <v>3</v>
      </c>
      <c r="E113" s="18">
        <v>60</v>
      </c>
      <c r="F113" s="18">
        <v>1400</v>
      </c>
      <c r="G113" s="26">
        <f t="shared" si="1"/>
        <v>4285.7142857142853</v>
      </c>
      <c r="H113" s="18"/>
    </row>
    <row r="114" spans="1:8" x14ac:dyDescent="0.35">
      <c r="A114" s="17" t="s">
        <v>340</v>
      </c>
      <c r="B114" s="17" t="s">
        <v>955</v>
      </c>
      <c r="C114" s="17" t="s">
        <v>872</v>
      </c>
      <c r="D114" s="17">
        <v>3</v>
      </c>
      <c r="E114" s="17">
        <v>61</v>
      </c>
      <c r="F114" s="17">
        <v>1425</v>
      </c>
      <c r="G114" s="26">
        <f t="shared" si="1"/>
        <v>4280.7017543859647</v>
      </c>
      <c r="H114" s="17"/>
    </row>
    <row r="115" spans="1:8" x14ac:dyDescent="0.35">
      <c r="A115" s="18" t="s">
        <v>340</v>
      </c>
      <c r="B115" s="18" t="s">
        <v>956</v>
      </c>
      <c r="C115" s="18" t="s">
        <v>872</v>
      </c>
      <c r="D115" s="18">
        <v>3</v>
      </c>
      <c r="E115" s="18">
        <v>60</v>
      </c>
      <c r="F115" s="18">
        <v>1400</v>
      </c>
      <c r="G115" s="26">
        <f t="shared" si="1"/>
        <v>4285.7142857142853</v>
      </c>
      <c r="H115" s="18"/>
    </row>
    <row r="116" spans="1:8" x14ac:dyDescent="0.35">
      <c r="A116" s="17" t="s">
        <v>340</v>
      </c>
      <c r="B116" s="17" t="s">
        <v>955</v>
      </c>
      <c r="C116" s="17" t="s">
        <v>872</v>
      </c>
      <c r="D116" s="17">
        <v>3</v>
      </c>
      <c r="E116" s="17">
        <v>60</v>
      </c>
      <c r="F116" s="17">
        <v>1400</v>
      </c>
      <c r="G116" s="26">
        <f t="shared" si="1"/>
        <v>4285.7142857142853</v>
      </c>
      <c r="H116" s="17"/>
    </row>
    <row r="117" spans="1:8" x14ac:dyDescent="0.35">
      <c r="A117" s="18" t="s">
        <v>340</v>
      </c>
      <c r="B117" s="18" t="s">
        <v>955</v>
      </c>
      <c r="C117" s="18" t="s">
        <v>872</v>
      </c>
      <c r="D117" s="18">
        <v>3</v>
      </c>
      <c r="E117" s="18">
        <v>61</v>
      </c>
      <c r="F117" s="18">
        <v>1425</v>
      </c>
      <c r="G117" s="26">
        <f t="shared" si="1"/>
        <v>4280.7017543859647</v>
      </c>
      <c r="H117" s="18"/>
    </row>
    <row r="118" spans="1:8" x14ac:dyDescent="0.35">
      <c r="A118" s="17" t="s">
        <v>957</v>
      </c>
      <c r="B118" s="17" t="s">
        <v>937</v>
      </c>
      <c r="C118" s="17" t="s">
        <v>872</v>
      </c>
      <c r="D118" s="17">
        <v>3</v>
      </c>
      <c r="E118" s="17">
        <v>66</v>
      </c>
      <c r="F118" s="17">
        <v>1423</v>
      </c>
      <c r="G118" s="26">
        <f t="shared" si="1"/>
        <v>4638.0885453267747</v>
      </c>
      <c r="H118" s="17"/>
    </row>
    <row r="119" spans="1:8" x14ac:dyDescent="0.35">
      <c r="A119" s="18" t="s">
        <v>957</v>
      </c>
      <c r="B119" s="18" t="s">
        <v>955</v>
      </c>
      <c r="C119" s="18" t="s">
        <v>872</v>
      </c>
      <c r="D119" s="18">
        <v>3</v>
      </c>
      <c r="E119" s="18">
        <v>65</v>
      </c>
      <c r="F119" s="18">
        <v>1400</v>
      </c>
      <c r="G119" s="26">
        <f t="shared" si="1"/>
        <v>4642.8571428571431</v>
      </c>
      <c r="H119" s="18"/>
    </row>
    <row r="120" spans="1:8" x14ac:dyDescent="0.35">
      <c r="A120" s="17" t="s">
        <v>397</v>
      </c>
      <c r="B120" s="17" t="s">
        <v>946</v>
      </c>
      <c r="C120" s="17" t="s">
        <v>872</v>
      </c>
      <c r="D120" s="17">
        <v>3</v>
      </c>
      <c r="E120" s="17">
        <v>85</v>
      </c>
      <c r="F120" s="17">
        <v>1250</v>
      </c>
      <c r="G120" s="26">
        <f t="shared" si="1"/>
        <v>6800</v>
      </c>
      <c r="H120" s="17"/>
    </row>
    <row r="121" spans="1:8" x14ac:dyDescent="0.35">
      <c r="A121" s="18" t="s">
        <v>958</v>
      </c>
      <c r="B121" s="18" t="s">
        <v>22</v>
      </c>
      <c r="C121" s="18" t="s">
        <v>875</v>
      </c>
      <c r="D121" s="18">
        <v>5</v>
      </c>
      <c r="E121" s="18">
        <v>335</v>
      </c>
      <c r="F121" s="18">
        <v>1200</v>
      </c>
      <c r="G121" s="26">
        <f t="shared" si="1"/>
        <v>27916.666666666668</v>
      </c>
      <c r="H121" s="18"/>
    </row>
    <row r="122" spans="1:8" ht="25" x14ac:dyDescent="0.35">
      <c r="A122" s="17" t="s">
        <v>351</v>
      </c>
      <c r="B122" s="17" t="s">
        <v>959</v>
      </c>
      <c r="C122" s="17" t="s">
        <v>872</v>
      </c>
      <c r="D122" s="17">
        <v>3</v>
      </c>
      <c r="E122" s="17">
        <v>220</v>
      </c>
      <c r="F122" s="17">
        <v>1740</v>
      </c>
      <c r="G122" s="26">
        <f t="shared" si="1"/>
        <v>12643.67816091954</v>
      </c>
      <c r="H122" s="17"/>
    </row>
    <row r="123" spans="1:8" x14ac:dyDescent="0.35">
      <c r="A123" s="18" t="s">
        <v>354</v>
      </c>
      <c r="B123" s="18" t="s">
        <v>884</v>
      </c>
      <c r="C123" s="18" t="s">
        <v>872</v>
      </c>
      <c r="D123" s="18">
        <v>3</v>
      </c>
      <c r="E123" s="18">
        <v>90</v>
      </c>
      <c r="F123" s="18">
        <v>1087</v>
      </c>
      <c r="G123" s="26">
        <f t="shared" si="1"/>
        <v>8279.6688132474701</v>
      </c>
      <c r="H123" s="18"/>
    </row>
    <row r="124" spans="1:8" x14ac:dyDescent="0.35">
      <c r="A124" s="17" t="s">
        <v>960</v>
      </c>
      <c r="B124" s="17" t="s">
        <v>961</v>
      </c>
      <c r="C124" s="17" t="s">
        <v>872</v>
      </c>
      <c r="D124" s="17">
        <v>2</v>
      </c>
      <c r="E124" s="17">
        <v>78</v>
      </c>
      <c r="F124" s="17">
        <v>970</v>
      </c>
      <c r="G124" s="26">
        <f t="shared" si="1"/>
        <v>8041.2371134020623</v>
      </c>
      <c r="H124" s="17">
        <v>3.5</v>
      </c>
    </row>
    <row r="125" spans="1:8" x14ac:dyDescent="0.35">
      <c r="A125" s="18" t="s">
        <v>923</v>
      </c>
      <c r="B125" s="18" t="s">
        <v>898</v>
      </c>
      <c r="C125" s="18" t="s">
        <v>872</v>
      </c>
      <c r="D125" s="18">
        <v>3</v>
      </c>
      <c r="E125" s="18">
        <v>66</v>
      </c>
      <c r="F125" s="18">
        <v>1350</v>
      </c>
      <c r="G125" s="26">
        <f t="shared" si="1"/>
        <v>4888.8888888888887</v>
      </c>
      <c r="H125" s="18"/>
    </row>
    <row r="126" spans="1:8" x14ac:dyDescent="0.35">
      <c r="A126" s="17" t="s">
        <v>363</v>
      </c>
      <c r="B126" s="17" t="s">
        <v>962</v>
      </c>
      <c r="C126" s="17" t="s">
        <v>872</v>
      </c>
      <c r="D126" s="17">
        <v>3</v>
      </c>
      <c r="E126" s="17">
        <v>195</v>
      </c>
      <c r="F126" s="17">
        <v>1629</v>
      </c>
      <c r="G126" s="26">
        <f t="shared" si="1"/>
        <v>11970.534069981584</v>
      </c>
      <c r="H126" s="17"/>
    </row>
    <row r="127" spans="1:8" x14ac:dyDescent="0.35">
      <c r="A127" s="18" t="s">
        <v>367</v>
      </c>
      <c r="B127" s="18" t="s">
        <v>963</v>
      </c>
      <c r="C127" s="18" t="s">
        <v>872</v>
      </c>
      <c r="D127" s="18">
        <v>2</v>
      </c>
      <c r="E127" s="18">
        <v>90</v>
      </c>
      <c r="F127" s="18">
        <v>1100</v>
      </c>
      <c r="G127" s="26">
        <f t="shared" si="1"/>
        <v>8181.818181818182</v>
      </c>
      <c r="H127" s="18"/>
    </row>
    <row r="128" spans="1:8" x14ac:dyDescent="0.35">
      <c r="A128" s="17" t="s">
        <v>367</v>
      </c>
      <c r="B128" s="17" t="s">
        <v>963</v>
      </c>
      <c r="C128" s="17" t="s">
        <v>872</v>
      </c>
      <c r="D128" s="17">
        <v>1</v>
      </c>
      <c r="E128" s="17">
        <v>60</v>
      </c>
      <c r="F128" s="17">
        <v>666</v>
      </c>
      <c r="G128" s="26">
        <f t="shared" si="1"/>
        <v>9009.0090090090089</v>
      </c>
      <c r="H128" s="17"/>
    </row>
    <row r="129" spans="1:8" x14ac:dyDescent="0.35">
      <c r="A129" s="18" t="s">
        <v>964</v>
      </c>
      <c r="B129" s="18" t="s">
        <v>965</v>
      </c>
      <c r="C129" s="18" t="s">
        <v>872</v>
      </c>
      <c r="D129" s="18">
        <v>2</v>
      </c>
      <c r="E129" s="18">
        <v>75</v>
      </c>
      <c r="F129" s="18">
        <v>1094</v>
      </c>
      <c r="G129" s="26">
        <f t="shared" si="1"/>
        <v>6855.5758683729437</v>
      </c>
      <c r="H129" s="18"/>
    </row>
    <row r="130" spans="1:8" x14ac:dyDescent="0.35">
      <c r="A130" s="17" t="s">
        <v>933</v>
      </c>
      <c r="B130" s="17" t="s">
        <v>934</v>
      </c>
      <c r="C130" s="17" t="s">
        <v>872</v>
      </c>
      <c r="D130" s="17">
        <v>2</v>
      </c>
      <c r="E130" s="17">
        <v>75</v>
      </c>
      <c r="F130" s="17">
        <v>1020</v>
      </c>
      <c r="G130" s="26">
        <f t="shared" si="1"/>
        <v>7352.9411764705883</v>
      </c>
      <c r="H130" s="17">
        <v>4</v>
      </c>
    </row>
    <row r="131" spans="1:8" x14ac:dyDescent="0.35">
      <c r="A131" s="18" t="s">
        <v>966</v>
      </c>
      <c r="B131" s="18" t="s">
        <v>967</v>
      </c>
      <c r="C131" s="18" t="s">
        <v>872</v>
      </c>
      <c r="D131" s="18">
        <v>2</v>
      </c>
      <c r="E131" s="18">
        <v>65</v>
      </c>
      <c r="F131" s="18">
        <v>1050</v>
      </c>
      <c r="G131" s="26">
        <f t="shared" si="1"/>
        <v>6190.4761904761908</v>
      </c>
      <c r="H131" s="18"/>
    </row>
    <row r="132" spans="1:8" x14ac:dyDescent="0.35">
      <c r="A132" s="17" t="s">
        <v>225</v>
      </c>
      <c r="B132" s="17" t="s">
        <v>885</v>
      </c>
      <c r="C132" s="17" t="s">
        <v>872</v>
      </c>
      <c r="D132" s="17">
        <v>2</v>
      </c>
      <c r="E132" s="17">
        <v>83.2</v>
      </c>
      <c r="F132" s="17">
        <v>1154</v>
      </c>
      <c r="G132" s="26">
        <f t="shared" si="1"/>
        <v>7209.7053726169843</v>
      </c>
      <c r="H132" s="17"/>
    </row>
    <row r="133" spans="1:8" x14ac:dyDescent="0.35">
      <c r="A133" s="18" t="s">
        <v>225</v>
      </c>
      <c r="B133" s="18" t="s">
        <v>885</v>
      </c>
      <c r="C133" s="18" t="s">
        <v>872</v>
      </c>
      <c r="D133" s="18">
        <v>2</v>
      </c>
      <c r="E133" s="18">
        <v>80.78</v>
      </c>
      <c r="F133" s="18">
        <v>1141</v>
      </c>
      <c r="G133" s="26">
        <f t="shared" ref="G133:G196" si="2" xml:space="preserve"> (E133 * 100000) / F133</f>
        <v>7079.7546012269941</v>
      </c>
      <c r="H133" s="18"/>
    </row>
    <row r="134" spans="1:8" x14ac:dyDescent="0.35">
      <c r="A134" s="17" t="s">
        <v>951</v>
      </c>
      <c r="B134" s="17" t="s">
        <v>952</v>
      </c>
      <c r="C134" s="17" t="s">
        <v>872</v>
      </c>
      <c r="D134" s="17">
        <v>2</v>
      </c>
      <c r="E134" s="17">
        <v>92.25</v>
      </c>
      <c r="F134" s="17">
        <v>1230</v>
      </c>
      <c r="G134" s="26">
        <f t="shared" si="2"/>
        <v>7500</v>
      </c>
      <c r="H134" s="17"/>
    </row>
    <row r="135" spans="1:8" x14ac:dyDescent="0.35">
      <c r="A135" s="18" t="s">
        <v>951</v>
      </c>
      <c r="B135" s="18" t="s">
        <v>952</v>
      </c>
      <c r="C135" s="18" t="s">
        <v>872</v>
      </c>
      <c r="D135" s="18">
        <v>2</v>
      </c>
      <c r="E135" s="18">
        <v>94.5</v>
      </c>
      <c r="F135" s="18">
        <v>1260</v>
      </c>
      <c r="G135" s="26">
        <f t="shared" si="2"/>
        <v>7500</v>
      </c>
      <c r="H135" s="18"/>
    </row>
    <row r="136" spans="1:8" x14ac:dyDescent="0.35">
      <c r="A136" s="17" t="s">
        <v>950</v>
      </c>
      <c r="B136" s="17" t="s">
        <v>952</v>
      </c>
      <c r="C136" s="17" t="s">
        <v>872</v>
      </c>
      <c r="D136" s="17">
        <v>3</v>
      </c>
      <c r="E136" s="17">
        <v>105</v>
      </c>
      <c r="F136" s="17">
        <v>1500</v>
      </c>
      <c r="G136" s="26">
        <f t="shared" si="2"/>
        <v>7000</v>
      </c>
      <c r="H136" s="17"/>
    </row>
    <row r="137" spans="1:8" x14ac:dyDescent="0.35">
      <c r="A137" s="18" t="s">
        <v>968</v>
      </c>
      <c r="B137" s="18" t="s">
        <v>969</v>
      </c>
      <c r="C137" s="18" t="s">
        <v>872</v>
      </c>
      <c r="D137" s="18">
        <v>3</v>
      </c>
      <c r="E137" s="18">
        <v>225</v>
      </c>
      <c r="F137" s="18">
        <v>1658</v>
      </c>
      <c r="G137" s="26">
        <f t="shared" si="2"/>
        <v>13570.566948130278</v>
      </c>
      <c r="H137" s="18"/>
    </row>
    <row r="138" spans="1:8" x14ac:dyDescent="0.35">
      <c r="A138" s="17" t="s">
        <v>928</v>
      </c>
      <c r="B138" s="17" t="s">
        <v>929</v>
      </c>
      <c r="C138" s="17" t="s">
        <v>872</v>
      </c>
      <c r="D138" s="17">
        <v>2</v>
      </c>
      <c r="E138" s="17">
        <v>160</v>
      </c>
      <c r="F138" s="17">
        <v>1205</v>
      </c>
      <c r="G138" s="26">
        <f t="shared" si="2"/>
        <v>13278.008298755187</v>
      </c>
      <c r="H138" s="17">
        <v>4.2</v>
      </c>
    </row>
    <row r="139" spans="1:8" x14ac:dyDescent="0.35">
      <c r="A139" s="18" t="s">
        <v>397</v>
      </c>
      <c r="B139" s="18" t="s">
        <v>946</v>
      </c>
      <c r="C139" s="18" t="s">
        <v>872</v>
      </c>
      <c r="D139" s="18">
        <v>3</v>
      </c>
      <c r="E139" s="18">
        <v>84</v>
      </c>
      <c r="F139" s="18">
        <v>1250</v>
      </c>
      <c r="G139" s="26">
        <f t="shared" si="2"/>
        <v>6720</v>
      </c>
      <c r="H139" s="18"/>
    </row>
    <row r="140" spans="1:8" x14ac:dyDescent="0.35">
      <c r="A140" s="17" t="s">
        <v>397</v>
      </c>
      <c r="B140" s="17" t="s">
        <v>946</v>
      </c>
      <c r="C140" s="17" t="s">
        <v>872</v>
      </c>
      <c r="D140" s="17">
        <v>3</v>
      </c>
      <c r="E140" s="17">
        <v>86</v>
      </c>
      <c r="F140" s="17">
        <v>1250</v>
      </c>
      <c r="G140" s="26">
        <f t="shared" si="2"/>
        <v>6880</v>
      </c>
      <c r="H140" s="17"/>
    </row>
    <row r="141" spans="1:8" x14ac:dyDescent="0.35">
      <c r="A141" s="18" t="s">
        <v>947</v>
      </c>
      <c r="B141" s="18" t="s">
        <v>23</v>
      </c>
      <c r="C141" s="18" t="s">
        <v>872</v>
      </c>
      <c r="D141" s="18">
        <v>3</v>
      </c>
      <c r="E141" s="18">
        <v>265</v>
      </c>
      <c r="F141" s="18">
        <v>1665</v>
      </c>
      <c r="G141" s="26">
        <f t="shared" si="2"/>
        <v>15915.915915915915</v>
      </c>
      <c r="H141" s="18">
        <v>3.7</v>
      </c>
    </row>
    <row r="142" spans="1:8" x14ac:dyDescent="0.35">
      <c r="A142" s="17" t="s">
        <v>400</v>
      </c>
      <c r="B142" s="17" t="s">
        <v>970</v>
      </c>
      <c r="C142" s="17" t="s">
        <v>872</v>
      </c>
      <c r="D142" s="17">
        <v>3</v>
      </c>
      <c r="E142" s="17">
        <v>275</v>
      </c>
      <c r="F142" s="17">
        <v>1939</v>
      </c>
      <c r="G142" s="26">
        <f t="shared" si="2"/>
        <v>14182.568334192883</v>
      </c>
      <c r="H142" s="17"/>
    </row>
    <row r="143" spans="1:8" ht="25" x14ac:dyDescent="0.35">
      <c r="A143" s="18" t="s">
        <v>404</v>
      </c>
      <c r="B143" s="18" t="s">
        <v>876</v>
      </c>
      <c r="C143" s="18" t="s">
        <v>872</v>
      </c>
      <c r="D143" s="18">
        <v>2</v>
      </c>
      <c r="E143" s="18">
        <v>180</v>
      </c>
      <c r="F143" s="18">
        <v>1242</v>
      </c>
      <c r="G143" s="26">
        <f t="shared" si="2"/>
        <v>14492.753623188406</v>
      </c>
      <c r="H143" s="18"/>
    </row>
    <row r="144" spans="1:8" x14ac:dyDescent="0.35">
      <c r="A144" s="17" t="s">
        <v>408</v>
      </c>
      <c r="B144" s="17" t="s">
        <v>882</v>
      </c>
      <c r="C144" s="17" t="s">
        <v>872</v>
      </c>
      <c r="D144" s="17">
        <v>2</v>
      </c>
      <c r="E144" s="17">
        <v>67</v>
      </c>
      <c r="F144" s="17">
        <v>1269</v>
      </c>
      <c r="G144" s="26">
        <f t="shared" si="2"/>
        <v>5279.7478329393225</v>
      </c>
      <c r="H144" s="17"/>
    </row>
    <row r="145" spans="1:8" x14ac:dyDescent="0.35">
      <c r="A145" s="18" t="s">
        <v>329</v>
      </c>
      <c r="B145" s="18" t="s">
        <v>895</v>
      </c>
      <c r="C145" s="18" t="s">
        <v>872</v>
      </c>
      <c r="D145" s="18">
        <v>2</v>
      </c>
      <c r="E145" s="18">
        <v>89</v>
      </c>
      <c r="F145" s="18">
        <v>1245</v>
      </c>
      <c r="G145" s="26">
        <f t="shared" si="2"/>
        <v>7148.5943775100404</v>
      </c>
      <c r="H145" s="18"/>
    </row>
    <row r="146" spans="1:8" x14ac:dyDescent="0.35">
      <c r="A146" s="17" t="s">
        <v>971</v>
      </c>
      <c r="B146" s="17" t="s">
        <v>972</v>
      </c>
      <c r="C146" s="17" t="s">
        <v>872</v>
      </c>
      <c r="D146" s="17">
        <v>1</v>
      </c>
      <c r="E146" s="17">
        <v>85</v>
      </c>
      <c r="F146" s="17">
        <v>607</v>
      </c>
      <c r="G146" s="26">
        <f t="shared" si="2"/>
        <v>14003.294892915981</v>
      </c>
      <c r="H146" s="17">
        <v>4.0999999999999996</v>
      </c>
    </row>
    <row r="147" spans="1:8" x14ac:dyDescent="0.35">
      <c r="A147" s="18" t="s">
        <v>973</v>
      </c>
      <c r="B147" s="18" t="s">
        <v>946</v>
      </c>
      <c r="C147" s="18" t="s">
        <v>872</v>
      </c>
      <c r="D147" s="18">
        <v>3</v>
      </c>
      <c r="E147" s="18">
        <v>85</v>
      </c>
      <c r="F147" s="18">
        <v>1250</v>
      </c>
      <c r="G147" s="26">
        <f t="shared" si="2"/>
        <v>6800</v>
      </c>
      <c r="H147" s="18"/>
    </row>
    <row r="148" spans="1:8" x14ac:dyDescent="0.35">
      <c r="A148" s="17" t="s">
        <v>416</v>
      </c>
      <c r="B148" s="17" t="s">
        <v>882</v>
      </c>
      <c r="C148" s="17" t="s">
        <v>872</v>
      </c>
      <c r="D148" s="17">
        <v>3</v>
      </c>
      <c r="E148" s="17">
        <v>74</v>
      </c>
      <c r="F148" s="17">
        <v>1680</v>
      </c>
      <c r="G148" s="26">
        <f t="shared" si="2"/>
        <v>4404.7619047619046</v>
      </c>
      <c r="H148" s="17"/>
    </row>
    <row r="149" spans="1:8" x14ac:dyDescent="0.35">
      <c r="A149" s="18" t="s">
        <v>216</v>
      </c>
      <c r="B149" s="18" t="s">
        <v>920</v>
      </c>
      <c r="C149" s="18" t="s">
        <v>872</v>
      </c>
      <c r="D149" s="18">
        <v>3</v>
      </c>
      <c r="E149" s="18">
        <v>185</v>
      </c>
      <c r="F149" s="18">
        <v>1948</v>
      </c>
      <c r="G149" s="26">
        <f t="shared" si="2"/>
        <v>9496.9199178644758</v>
      </c>
      <c r="H149" s="18"/>
    </row>
    <row r="150" spans="1:8" x14ac:dyDescent="0.35">
      <c r="A150" s="17" t="s">
        <v>906</v>
      </c>
      <c r="B150" s="17" t="s">
        <v>907</v>
      </c>
      <c r="C150" s="17" t="s">
        <v>872</v>
      </c>
      <c r="D150" s="17">
        <v>2</v>
      </c>
      <c r="E150" s="17">
        <v>90</v>
      </c>
      <c r="F150" s="17">
        <v>1144</v>
      </c>
      <c r="G150" s="26">
        <f t="shared" si="2"/>
        <v>7867.1328671328674</v>
      </c>
      <c r="H150" s="17">
        <v>3.7</v>
      </c>
    </row>
    <row r="151" spans="1:8" x14ac:dyDescent="0.35">
      <c r="A151" s="18" t="s">
        <v>100</v>
      </c>
      <c r="B151" s="18" t="s">
        <v>885</v>
      </c>
      <c r="C151" s="18" t="s">
        <v>872</v>
      </c>
      <c r="D151" s="18">
        <v>2</v>
      </c>
      <c r="E151" s="18">
        <v>96</v>
      </c>
      <c r="F151" s="18">
        <v>833</v>
      </c>
      <c r="G151" s="26">
        <f t="shared" si="2"/>
        <v>11524.609843937575</v>
      </c>
      <c r="H151" s="18"/>
    </row>
    <row r="152" spans="1:8" x14ac:dyDescent="0.35">
      <c r="A152" s="17" t="s">
        <v>225</v>
      </c>
      <c r="B152" s="17" t="s">
        <v>885</v>
      </c>
      <c r="C152" s="17" t="s">
        <v>872</v>
      </c>
      <c r="D152" s="17">
        <v>3</v>
      </c>
      <c r="E152" s="17">
        <v>111</v>
      </c>
      <c r="F152" s="17">
        <v>1551</v>
      </c>
      <c r="G152" s="26">
        <f t="shared" si="2"/>
        <v>7156.6731141199225</v>
      </c>
      <c r="H152" s="17"/>
    </row>
    <row r="153" spans="1:8" x14ac:dyDescent="0.35">
      <c r="A153" s="18" t="s">
        <v>974</v>
      </c>
      <c r="B153" s="18" t="s">
        <v>967</v>
      </c>
      <c r="C153" s="18" t="s">
        <v>872</v>
      </c>
      <c r="D153" s="18">
        <v>2</v>
      </c>
      <c r="E153" s="18">
        <v>67.5</v>
      </c>
      <c r="F153" s="18">
        <v>1090</v>
      </c>
      <c r="G153" s="26">
        <f t="shared" si="2"/>
        <v>6192.660550458716</v>
      </c>
      <c r="H153" s="18"/>
    </row>
    <row r="154" spans="1:8" x14ac:dyDescent="0.35">
      <c r="A154" s="17" t="s">
        <v>950</v>
      </c>
      <c r="B154" s="17" t="s">
        <v>885</v>
      </c>
      <c r="C154" s="17" t="s">
        <v>872</v>
      </c>
      <c r="D154" s="17">
        <v>3</v>
      </c>
      <c r="E154" s="17">
        <v>110</v>
      </c>
      <c r="F154" s="17">
        <v>1575</v>
      </c>
      <c r="G154" s="26">
        <f t="shared" si="2"/>
        <v>6984.1269841269841</v>
      </c>
      <c r="H154" s="17"/>
    </row>
    <row r="155" spans="1:8" x14ac:dyDescent="0.35">
      <c r="A155" s="18" t="s">
        <v>950</v>
      </c>
      <c r="B155" s="18" t="s">
        <v>885</v>
      </c>
      <c r="C155" s="18" t="s">
        <v>872</v>
      </c>
      <c r="D155" s="18">
        <v>2</v>
      </c>
      <c r="E155" s="18">
        <v>85.68</v>
      </c>
      <c r="F155" s="18">
        <v>1260</v>
      </c>
      <c r="G155" s="26">
        <f t="shared" si="2"/>
        <v>6800</v>
      </c>
      <c r="H155" s="18"/>
    </row>
    <row r="156" spans="1:8" x14ac:dyDescent="0.35">
      <c r="A156" s="17" t="s">
        <v>433</v>
      </c>
      <c r="B156" s="17" t="s">
        <v>963</v>
      </c>
      <c r="C156" s="17" t="s">
        <v>872</v>
      </c>
      <c r="D156" s="17">
        <v>3</v>
      </c>
      <c r="E156" s="17">
        <v>140</v>
      </c>
      <c r="F156" s="17">
        <v>1600</v>
      </c>
      <c r="G156" s="26">
        <f t="shared" si="2"/>
        <v>8750</v>
      </c>
      <c r="H156" s="17"/>
    </row>
    <row r="157" spans="1:8" x14ac:dyDescent="0.35">
      <c r="A157" s="18" t="s">
        <v>437</v>
      </c>
      <c r="B157" s="18" t="s">
        <v>975</v>
      </c>
      <c r="C157" s="18" t="s">
        <v>872</v>
      </c>
      <c r="D157" s="18">
        <v>3</v>
      </c>
      <c r="E157" s="18">
        <v>180</v>
      </c>
      <c r="F157" s="18">
        <v>2400</v>
      </c>
      <c r="G157" s="26">
        <f t="shared" si="2"/>
        <v>7500</v>
      </c>
      <c r="H157" s="18"/>
    </row>
    <row r="158" spans="1:8" ht="25" x14ac:dyDescent="0.35">
      <c r="A158" s="17" t="s">
        <v>440</v>
      </c>
      <c r="B158" s="17" t="s">
        <v>976</v>
      </c>
      <c r="C158" s="17" t="s">
        <v>875</v>
      </c>
      <c r="D158" s="17">
        <v>5</v>
      </c>
      <c r="E158" s="17">
        <v>300</v>
      </c>
      <c r="F158" s="17">
        <v>1200</v>
      </c>
      <c r="G158" s="26">
        <f t="shared" si="2"/>
        <v>25000</v>
      </c>
      <c r="H158" s="17"/>
    </row>
    <row r="159" spans="1:8" x14ac:dyDescent="0.35">
      <c r="A159" s="18" t="s">
        <v>93</v>
      </c>
      <c r="B159" s="18" t="s">
        <v>871</v>
      </c>
      <c r="C159" s="18" t="s">
        <v>872</v>
      </c>
      <c r="D159" s="18">
        <v>3</v>
      </c>
      <c r="E159" s="18">
        <v>103</v>
      </c>
      <c r="F159" s="18">
        <v>1485</v>
      </c>
      <c r="G159" s="26">
        <f t="shared" si="2"/>
        <v>6936.0269360269358</v>
      </c>
      <c r="H159" s="18"/>
    </row>
    <row r="160" spans="1:8" x14ac:dyDescent="0.35">
      <c r="A160" s="17" t="s">
        <v>329</v>
      </c>
      <c r="B160" s="17" t="s">
        <v>871</v>
      </c>
      <c r="C160" s="17" t="s">
        <v>872</v>
      </c>
      <c r="D160" s="17">
        <v>3</v>
      </c>
      <c r="E160" s="17">
        <v>95</v>
      </c>
      <c r="F160" s="17">
        <v>1350</v>
      </c>
      <c r="G160" s="26">
        <f t="shared" si="2"/>
        <v>7037.0370370370374</v>
      </c>
      <c r="H160" s="17"/>
    </row>
    <row r="161" spans="1:8" x14ac:dyDescent="0.35">
      <c r="A161" s="18" t="s">
        <v>947</v>
      </c>
      <c r="B161" s="18" t="s">
        <v>23</v>
      </c>
      <c r="C161" s="18" t="s">
        <v>872</v>
      </c>
      <c r="D161" s="18">
        <v>3</v>
      </c>
      <c r="E161" s="18">
        <v>260</v>
      </c>
      <c r="F161" s="18">
        <v>1665</v>
      </c>
      <c r="G161" s="26">
        <f t="shared" si="2"/>
        <v>15615.615615615616</v>
      </c>
      <c r="H161" s="18">
        <v>3.7</v>
      </c>
    </row>
    <row r="162" spans="1:8" x14ac:dyDescent="0.35">
      <c r="A162" s="17" t="s">
        <v>93</v>
      </c>
      <c r="B162" s="17" t="s">
        <v>871</v>
      </c>
      <c r="C162" s="17" t="s">
        <v>872</v>
      </c>
      <c r="D162" s="17">
        <v>3</v>
      </c>
      <c r="E162" s="17">
        <v>98</v>
      </c>
      <c r="F162" s="17">
        <v>1395</v>
      </c>
      <c r="G162" s="26">
        <f t="shared" si="2"/>
        <v>7025.0896057347672</v>
      </c>
      <c r="H162" s="17"/>
    </row>
    <row r="163" spans="1:8" x14ac:dyDescent="0.35">
      <c r="A163" s="18" t="s">
        <v>93</v>
      </c>
      <c r="B163" s="18" t="s">
        <v>871</v>
      </c>
      <c r="C163" s="18" t="s">
        <v>872</v>
      </c>
      <c r="D163" s="18">
        <v>2</v>
      </c>
      <c r="E163" s="18">
        <v>70.709999999999994</v>
      </c>
      <c r="F163" s="18">
        <v>1010</v>
      </c>
      <c r="G163" s="26">
        <f t="shared" si="2"/>
        <v>7000.9900990099004</v>
      </c>
      <c r="H163" s="18"/>
    </row>
    <row r="164" spans="1:8" x14ac:dyDescent="0.35">
      <c r="A164" s="17" t="s">
        <v>93</v>
      </c>
      <c r="B164" s="17" t="s">
        <v>871</v>
      </c>
      <c r="C164" s="17" t="s">
        <v>872</v>
      </c>
      <c r="D164" s="17">
        <v>2</v>
      </c>
      <c r="E164" s="17">
        <v>70.37</v>
      </c>
      <c r="F164" s="17">
        <v>1005</v>
      </c>
      <c r="G164" s="26">
        <f t="shared" si="2"/>
        <v>7001.9900497512435</v>
      </c>
      <c r="H164" s="17"/>
    </row>
    <row r="165" spans="1:8" x14ac:dyDescent="0.35">
      <c r="A165" s="18" t="s">
        <v>977</v>
      </c>
      <c r="B165" s="18" t="s">
        <v>11</v>
      </c>
      <c r="C165" s="18" t="s">
        <v>872</v>
      </c>
      <c r="D165" s="18">
        <v>1</v>
      </c>
      <c r="E165" s="18">
        <v>92</v>
      </c>
      <c r="F165" s="18">
        <v>670</v>
      </c>
      <c r="G165" s="26">
        <f t="shared" si="2"/>
        <v>13731.343283582089</v>
      </c>
      <c r="H165" s="18">
        <v>3.7</v>
      </c>
    </row>
    <row r="166" spans="1:8" x14ac:dyDescent="0.35">
      <c r="A166" s="17" t="s">
        <v>978</v>
      </c>
      <c r="B166" s="17" t="s">
        <v>979</v>
      </c>
      <c r="C166" s="17" t="s">
        <v>872</v>
      </c>
      <c r="D166" s="17">
        <v>1</v>
      </c>
      <c r="E166" s="17">
        <v>57</v>
      </c>
      <c r="F166" s="17">
        <v>800</v>
      </c>
      <c r="G166" s="26">
        <f t="shared" si="2"/>
        <v>7125</v>
      </c>
      <c r="H166" s="17">
        <v>3.8</v>
      </c>
    </row>
    <row r="167" spans="1:8" x14ac:dyDescent="0.35">
      <c r="A167" s="18" t="s">
        <v>454</v>
      </c>
      <c r="B167" s="18" t="s">
        <v>907</v>
      </c>
      <c r="C167" s="18" t="s">
        <v>872</v>
      </c>
      <c r="D167" s="18">
        <v>2</v>
      </c>
      <c r="E167" s="18">
        <v>85</v>
      </c>
      <c r="F167" s="18">
        <v>1020</v>
      </c>
      <c r="G167" s="26">
        <f t="shared" si="2"/>
        <v>8333.3333333333339</v>
      </c>
      <c r="H167" s="18"/>
    </row>
    <row r="168" spans="1:8" x14ac:dyDescent="0.35">
      <c r="A168" s="17" t="s">
        <v>940</v>
      </c>
      <c r="B168" s="17" t="s">
        <v>941</v>
      </c>
      <c r="C168" s="17" t="s">
        <v>872</v>
      </c>
      <c r="D168" s="17">
        <v>3</v>
      </c>
      <c r="E168" s="17">
        <v>102</v>
      </c>
      <c r="F168" s="17">
        <v>1398</v>
      </c>
      <c r="G168" s="26">
        <f t="shared" si="2"/>
        <v>7296.1373390557937</v>
      </c>
      <c r="H168" s="17"/>
    </row>
    <row r="169" spans="1:8" x14ac:dyDescent="0.35">
      <c r="A169" s="18" t="s">
        <v>936</v>
      </c>
      <c r="B169" s="18" t="s">
        <v>956</v>
      </c>
      <c r="C169" s="18" t="s">
        <v>872</v>
      </c>
      <c r="D169" s="18">
        <v>2</v>
      </c>
      <c r="E169" s="18">
        <v>46.9</v>
      </c>
      <c r="F169" s="18">
        <v>1015</v>
      </c>
      <c r="G169" s="26">
        <f t="shared" si="2"/>
        <v>4620.6896551724139</v>
      </c>
      <c r="H169" s="18"/>
    </row>
    <row r="170" spans="1:8" x14ac:dyDescent="0.35">
      <c r="A170" s="17" t="s">
        <v>93</v>
      </c>
      <c r="B170" s="17" t="s">
        <v>980</v>
      </c>
      <c r="C170" s="17" t="s">
        <v>872</v>
      </c>
      <c r="D170" s="17">
        <v>2</v>
      </c>
      <c r="E170" s="17">
        <v>80.819999999999993</v>
      </c>
      <c r="F170" s="17">
        <v>1160</v>
      </c>
      <c r="G170" s="26">
        <f t="shared" si="2"/>
        <v>6967.2413793103442</v>
      </c>
      <c r="H170" s="17"/>
    </row>
    <row r="171" spans="1:8" x14ac:dyDescent="0.35">
      <c r="A171" s="18" t="s">
        <v>981</v>
      </c>
      <c r="B171" s="18" t="s">
        <v>885</v>
      </c>
      <c r="C171" s="18" t="s">
        <v>872</v>
      </c>
      <c r="D171" s="18">
        <v>2</v>
      </c>
      <c r="E171" s="18">
        <v>85.4</v>
      </c>
      <c r="F171" s="18">
        <v>1220</v>
      </c>
      <c r="G171" s="26">
        <f t="shared" si="2"/>
        <v>7000</v>
      </c>
      <c r="H171" s="18"/>
    </row>
    <row r="172" spans="1:8" x14ac:dyDescent="0.35">
      <c r="A172" s="17" t="s">
        <v>982</v>
      </c>
      <c r="B172" s="17" t="s">
        <v>952</v>
      </c>
      <c r="C172" s="17" t="s">
        <v>872</v>
      </c>
      <c r="D172" s="17">
        <v>2</v>
      </c>
      <c r="E172" s="17">
        <v>90.3</v>
      </c>
      <c r="F172" s="17">
        <v>1204</v>
      </c>
      <c r="G172" s="26">
        <f t="shared" si="2"/>
        <v>7500</v>
      </c>
      <c r="H172" s="17"/>
    </row>
    <row r="173" spans="1:8" x14ac:dyDescent="0.35">
      <c r="A173" s="18" t="s">
        <v>950</v>
      </c>
      <c r="B173" s="18" t="s">
        <v>885</v>
      </c>
      <c r="C173" s="18" t="s">
        <v>872</v>
      </c>
      <c r="D173" s="18">
        <v>2</v>
      </c>
      <c r="E173" s="18">
        <v>85.05</v>
      </c>
      <c r="F173" s="18">
        <v>1215</v>
      </c>
      <c r="G173" s="26">
        <f t="shared" si="2"/>
        <v>7000</v>
      </c>
      <c r="H173" s="18"/>
    </row>
    <row r="174" spans="1:8" x14ac:dyDescent="0.35">
      <c r="A174" s="17" t="s">
        <v>470</v>
      </c>
      <c r="B174" s="17" t="s">
        <v>983</v>
      </c>
      <c r="C174" s="17" t="s">
        <v>872</v>
      </c>
      <c r="D174" s="17">
        <v>2</v>
      </c>
      <c r="E174" s="17">
        <v>75</v>
      </c>
      <c r="F174" s="17">
        <v>1025</v>
      </c>
      <c r="G174" s="26">
        <f t="shared" si="2"/>
        <v>7317.0731707317073</v>
      </c>
      <c r="H174" s="17"/>
    </row>
    <row r="175" spans="1:8" x14ac:dyDescent="0.35">
      <c r="A175" s="18" t="s">
        <v>984</v>
      </c>
      <c r="B175" s="18" t="s">
        <v>985</v>
      </c>
      <c r="C175" s="18" t="s">
        <v>872</v>
      </c>
      <c r="D175" s="18">
        <v>3</v>
      </c>
      <c r="E175" s="18">
        <v>305</v>
      </c>
      <c r="F175" s="18">
        <v>1819</v>
      </c>
      <c r="G175" s="26">
        <f t="shared" si="2"/>
        <v>16767.454645409565</v>
      </c>
      <c r="H175" s="18">
        <v>3.7</v>
      </c>
    </row>
    <row r="176" spans="1:8" x14ac:dyDescent="0.35">
      <c r="A176" s="17" t="s">
        <v>329</v>
      </c>
      <c r="B176" s="17" t="s">
        <v>954</v>
      </c>
      <c r="C176" s="17" t="s">
        <v>872</v>
      </c>
      <c r="D176" s="17">
        <v>2</v>
      </c>
      <c r="E176" s="17">
        <v>72</v>
      </c>
      <c r="F176" s="17">
        <v>1005</v>
      </c>
      <c r="G176" s="26">
        <f t="shared" si="2"/>
        <v>7164.1791044776119</v>
      </c>
      <c r="H176" s="17"/>
    </row>
    <row r="177" spans="1:8" ht="25" x14ac:dyDescent="0.35">
      <c r="A177" s="18" t="s">
        <v>986</v>
      </c>
      <c r="B177" s="18" t="s">
        <v>987</v>
      </c>
      <c r="C177" s="18" t="s">
        <v>872</v>
      </c>
      <c r="D177" s="18">
        <v>2</v>
      </c>
      <c r="E177" s="18">
        <v>190</v>
      </c>
      <c r="F177" s="18">
        <v>1268</v>
      </c>
      <c r="G177" s="26">
        <f t="shared" si="2"/>
        <v>14984.22712933754</v>
      </c>
      <c r="H177" s="18"/>
    </row>
    <row r="178" spans="1:8" x14ac:dyDescent="0.35">
      <c r="A178" s="17" t="s">
        <v>870</v>
      </c>
      <c r="B178" s="17" t="s">
        <v>871</v>
      </c>
      <c r="C178" s="17" t="s">
        <v>872</v>
      </c>
      <c r="D178" s="17">
        <v>3</v>
      </c>
      <c r="E178" s="17">
        <v>300</v>
      </c>
      <c r="F178" s="17">
        <v>1806</v>
      </c>
      <c r="G178" s="26">
        <f t="shared" si="2"/>
        <v>16611.295681063122</v>
      </c>
      <c r="H178" s="17">
        <v>4.2</v>
      </c>
    </row>
    <row r="179" spans="1:8" x14ac:dyDescent="0.35">
      <c r="A179" s="18" t="s">
        <v>978</v>
      </c>
      <c r="B179" s="18" t="s">
        <v>979</v>
      </c>
      <c r="C179" s="18" t="s">
        <v>872</v>
      </c>
      <c r="D179" s="18">
        <v>2</v>
      </c>
      <c r="E179" s="18">
        <v>74.900000000000006</v>
      </c>
      <c r="F179" s="18">
        <v>1000</v>
      </c>
      <c r="G179" s="26">
        <f t="shared" si="2"/>
        <v>7490.0000000000009</v>
      </c>
      <c r="H179" s="18">
        <v>3.8</v>
      </c>
    </row>
    <row r="180" spans="1:8" x14ac:dyDescent="0.35">
      <c r="A180" s="17" t="s">
        <v>978</v>
      </c>
      <c r="B180" s="17" t="s">
        <v>979</v>
      </c>
      <c r="C180" s="17" t="s">
        <v>872</v>
      </c>
      <c r="D180" s="17">
        <v>2</v>
      </c>
      <c r="E180" s="17">
        <v>74.55</v>
      </c>
      <c r="F180" s="17">
        <v>969</v>
      </c>
      <c r="G180" s="26">
        <f t="shared" si="2"/>
        <v>7693.4984520123835</v>
      </c>
      <c r="H180" s="17">
        <v>3.8</v>
      </c>
    </row>
    <row r="181" spans="1:8" x14ac:dyDescent="0.35">
      <c r="A181" s="18" t="s">
        <v>988</v>
      </c>
      <c r="B181" s="18" t="s">
        <v>11</v>
      </c>
      <c r="C181" s="18" t="s">
        <v>872</v>
      </c>
      <c r="D181" s="18">
        <v>3</v>
      </c>
      <c r="E181" s="18">
        <v>375</v>
      </c>
      <c r="F181" s="18">
        <v>1933</v>
      </c>
      <c r="G181" s="26">
        <f t="shared" si="2"/>
        <v>19399.896533885152</v>
      </c>
      <c r="H181" s="18">
        <v>3.7</v>
      </c>
    </row>
    <row r="182" spans="1:8" x14ac:dyDescent="0.35">
      <c r="A182" s="17" t="s">
        <v>989</v>
      </c>
      <c r="B182" s="17" t="s">
        <v>990</v>
      </c>
      <c r="C182" s="17" t="s">
        <v>872</v>
      </c>
      <c r="D182" s="17">
        <v>2</v>
      </c>
      <c r="E182" s="17">
        <v>43.5</v>
      </c>
      <c r="F182" s="17">
        <v>1089</v>
      </c>
      <c r="G182" s="26">
        <f t="shared" si="2"/>
        <v>3994.4903581267217</v>
      </c>
      <c r="H182" s="17">
        <v>3.8</v>
      </c>
    </row>
    <row r="183" spans="1:8" x14ac:dyDescent="0.35">
      <c r="A183" s="18" t="s">
        <v>991</v>
      </c>
      <c r="B183" s="18" t="s">
        <v>992</v>
      </c>
      <c r="C183" s="18" t="s">
        <v>872</v>
      </c>
      <c r="D183" s="18">
        <v>3</v>
      </c>
      <c r="E183" s="18">
        <v>108</v>
      </c>
      <c r="F183" s="18">
        <v>1225</v>
      </c>
      <c r="G183" s="26">
        <f t="shared" si="2"/>
        <v>8816.3265306122448</v>
      </c>
      <c r="H183" s="18">
        <v>4</v>
      </c>
    </row>
    <row r="184" spans="1:8" x14ac:dyDescent="0.35">
      <c r="A184" s="17" t="s">
        <v>923</v>
      </c>
      <c r="B184" s="17" t="s">
        <v>993</v>
      </c>
      <c r="C184" s="17" t="s">
        <v>872</v>
      </c>
      <c r="D184" s="17">
        <v>2</v>
      </c>
      <c r="E184" s="17">
        <v>48.5</v>
      </c>
      <c r="F184" s="17">
        <v>945</v>
      </c>
      <c r="G184" s="26">
        <f t="shared" si="2"/>
        <v>5132.2751322751319</v>
      </c>
      <c r="H184" s="17"/>
    </row>
    <row r="185" spans="1:8" x14ac:dyDescent="0.35">
      <c r="A185" s="18" t="s">
        <v>906</v>
      </c>
      <c r="B185" s="18" t="s">
        <v>907</v>
      </c>
      <c r="C185" s="18" t="s">
        <v>872</v>
      </c>
      <c r="D185" s="18">
        <v>2</v>
      </c>
      <c r="E185" s="18">
        <v>88</v>
      </c>
      <c r="F185" s="18">
        <v>1268</v>
      </c>
      <c r="G185" s="26">
        <f t="shared" si="2"/>
        <v>6940.0630914826497</v>
      </c>
      <c r="H185" s="18">
        <v>3.7</v>
      </c>
    </row>
    <row r="186" spans="1:8" x14ac:dyDescent="0.35">
      <c r="A186" s="17" t="s">
        <v>950</v>
      </c>
      <c r="B186" s="17" t="s">
        <v>885</v>
      </c>
      <c r="C186" s="17" t="s">
        <v>872</v>
      </c>
      <c r="D186" s="17">
        <v>2</v>
      </c>
      <c r="E186" s="17">
        <v>75.25</v>
      </c>
      <c r="F186" s="17">
        <v>1075</v>
      </c>
      <c r="G186" s="26">
        <f t="shared" si="2"/>
        <v>7000</v>
      </c>
      <c r="H186" s="17"/>
    </row>
    <row r="187" spans="1:8" x14ac:dyDescent="0.35">
      <c r="A187" s="18" t="s">
        <v>877</v>
      </c>
      <c r="B187" s="18" t="s">
        <v>25</v>
      </c>
      <c r="C187" s="18" t="s">
        <v>872</v>
      </c>
      <c r="D187" s="18">
        <v>2</v>
      </c>
      <c r="E187" s="18">
        <v>170</v>
      </c>
      <c r="F187" s="18">
        <v>1130</v>
      </c>
      <c r="G187" s="26">
        <f t="shared" si="2"/>
        <v>15044.247787610619</v>
      </c>
      <c r="H187" s="18">
        <v>3.9</v>
      </c>
    </row>
    <row r="188" spans="1:8" x14ac:dyDescent="0.35">
      <c r="A188" s="17" t="s">
        <v>933</v>
      </c>
      <c r="B188" s="17" t="s">
        <v>934</v>
      </c>
      <c r="C188" s="17" t="s">
        <v>872</v>
      </c>
      <c r="D188" s="17">
        <v>2</v>
      </c>
      <c r="E188" s="17">
        <v>79</v>
      </c>
      <c r="F188" s="17">
        <v>1020</v>
      </c>
      <c r="G188" s="26">
        <f t="shared" si="2"/>
        <v>7745.0980392156862</v>
      </c>
      <c r="H188" s="17">
        <v>4</v>
      </c>
    </row>
    <row r="189" spans="1:8" ht="25" x14ac:dyDescent="0.35">
      <c r="A189" s="18" t="s">
        <v>986</v>
      </c>
      <c r="B189" s="18" t="s">
        <v>987</v>
      </c>
      <c r="C189" s="18" t="s">
        <v>872</v>
      </c>
      <c r="D189" s="18">
        <v>3</v>
      </c>
      <c r="E189" s="18">
        <v>300</v>
      </c>
      <c r="F189" s="18">
        <v>1770</v>
      </c>
      <c r="G189" s="26">
        <f t="shared" si="2"/>
        <v>16949.152542372882</v>
      </c>
      <c r="H189" s="18"/>
    </row>
    <row r="190" spans="1:8" x14ac:dyDescent="0.35">
      <c r="A190" s="17" t="s">
        <v>978</v>
      </c>
      <c r="B190" s="17" t="s">
        <v>979</v>
      </c>
      <c r="C190" s="17" t="s">
        <v>872</v>
      </c>
      <c r="D190" s="17">
        <v>2</v>
      </c>
      <c r="E190" s="17">
        <v>75.099999999999994</v>
      </c>
      <c r="F190" s="17">
        <v>969</v>
      </c>
      <c r="G190" s="26">
        <f t="shared" si="2"/>
        <v>7750.2579979360153</v>
      </c>
      <c r="H190" s="17">
        <v>3.8</v>
      </c>
    </row>
    <row r="191" spans="1:8" x14ac:dyDescent="0.35">
      <c r="A191" s="18" t="s">
        <v>906</v>
      </c>
      <c r="B191" s="18" t="s">
        <v>907</v>
      </c>
      <c r="C191" s="18" t="s">
        <v>872</v>
      </c>
      <c r="D191" s="18">
        <v>2</v>
      </c>
      <c r="E191" s="18">
        <v>85</v>
      </c>
      <c r="F191" s="18">
        <v>1207</v>
      </c>
      <c r="G191" s="26">
        <f t="shared" si="2"/>
        <v>7042.2535211267605</v>
      </c>
      <c r="H191" s="18">
        <v>3.7</v>
      </c>
    </row>
    <row r="192" spans="1:8" x14ac:dyDescent="0.35">
      <c r="A192" s="17" t="s">
        <v>994</v>
      </c>
      <c r="B192" s="17" t="s">
        <v>883</v>
      </c>
      <c r="C192" s="17" t="s">
        <v>872</v>
      </c>
      <c r="D192" s="17">
        <v>3</v>
      </c>
      <c r="E192" s="17">
        <v>111</v>
      </c>
      <c r="F192" s="17">
        <v>1549</v>
      </c>
      <c r="G192" s="26">
        <f t="shared" si="2"/>
        <v>7165.9134925758553</v>
      </c>
      <c r="H192" s="17"/>
    </row>
    <row r="193" spans="1:8" x14ac:dyDescent="0.35">
      <c r="A193" s="18" t="s">
        <v>400</v>
      </c>
      <c r="B193" s="18" t="s">
        <v>970</v>
      </c>
      <c r="C193" s="18" t="s">
        <v>872</v>
      </c>
      <c r="D193" s="18">
        <v>2</v>
      </c>
      <c r="E193" s="18">
        <v>165</v>
      </c>
      <c r="F193" s="18">
        <v>1455</v>
      </c>
      <c r="G193" s="26">
        <f t="shared" si="2"/>
        <v>11340.206185567011</v>
      </c>
      <c r="H193" s="18"/>
    </row>
    <row r="194" spans="1:8" x14ac:dyDescent="0.35">
      <c r="A194" s="17" t="s">
        <v>951</v>
      </c>
      <c r="B194" s="17" t="s">
        <v>952</v>
      </c>
      <c r="C194" s="17" t="s">
        <v>872</v>
      </c>
      <c r="D194" s="17">
        <v>3</v>
      </c>
      <c r="E194" s="17">
        <v>111</v>
      </c>
      <c r="F194" s="17">
        <v>1483</v>
      </c>
      <c r="G194" s="26">
        <f t="shared" si="2"/>
        <v>7484.8280512474712</v>
      </c>
      <c r="H194" s="17"/>
    </row>
    <row r="195" spans="1:8" x14ac:dyDescent="0.35">
      <c r="A195" s="18" t="s">
        <v>995</v>
      </c>
      <c r="B195" s="18" t="s">
        <v>996</v>
      </c>
      <c r="C195" s="18" t="s">
        <v>872</v>
      </c>
      <c r="D195" s="18">
        <v>3</v>
      </c>
      <c r="E195" s="18">
        <v>231</v>
      </c>
      <c r="F195" s="18">
        <v>1697</v>
      </c>
      <c r="G195" s="26">
        <f t="shared" si="2"/>
        <v>13612.256923983501</v>
      </c>
      <c r="H195" s="18">
        <v>4.3</v>
      </c>
    </row>
    <row r="196" spans="1:8" x14ac:dyDescent="0.35">
      <c r="A196" s="17" t="s">
        <v>997</v>
      </c>
      <c r="B196" s="17" t="s">
        <v>22</v>
      </c>
      <c r="C196" s="17" t="s">
        <v>872</v>
      </c>
      <c r="D196" s="17">
        <v>2</v>
      </c>
      <c r="E196" s="17">
        <v>180</v>
      </c>
      <c r="F196" s="17">
        <v>1300</v>
      </c>
      <c r="G196" s="26">
        <f t="shared" si="2"/>
        <v>13846.153846153846</v>
      </c>
      <c r="H196" s="17">
        <v>4</v>
      </c>
    </row>
    <row r="197" spans="1:8" x14ac:dyDescent="0.35">
      <c r="A197" s="18" t="s">
        <v>523</v>
      </c>
      <c r="B197" s="18" t="s">
        <v>998</v>
      </c>
      <c r="C197" s="18" t="s">
        <v>872</v>
      </c>
      <c r="D197" s="18">
        <v>3</v>
      </c>
      <c r="E197" s="18">
        <v>320</v>
      </c>
      <c r="F197" s="18">
        <v>2350</v>
      </c>
      <c r="G197" s="26">
        <f t="shared" ref="G197:G260" si="3" xml:space="preserve"> (E197 * 100000) / F197</f>
        <v>13617.021276595744</v>
      </c>
      <c r="H197" s="18"/>
    </row>
    <row r="198" spans="1:8" x14ac:dyDescent="0.35">
      <c r="A198" s="17" t="s">
        <v>978</v>
      </c>
      <c r="B198" s="17" t="s">
        <v>979</v>
      </c>
      <c r="C198" s="17" t="s">
        <v>872</v>
      </c>
      <c r="D198" s="17">
        <v>1</v>
      </c>
      <c r="E198" s="17">
        <v>54.68</v>
      </c>
      <c r="F198" s="17">
        <v>699</v>
      </c>
      <c r="G198" s="26">
        <f t="shared" si="3"/>
        <v>7822.6037195994277</v>
      </c>
      <c r="H198" s="17">
        <v>3.8</v>
      </c>
    </row>
    <row r="199" spans="1:8" x14ac:dyDescent="0.35">
      <c r="A199" s="18" t="s">
        <v>978</v>
      </c>
      <c r="B199" s="18" t="s">
        <v>979</v>
      </c>
      <c r="C199" s="18" t="s">
        <v>872</v>
      </c>
      <c r="D199" s="18">
        <v>2</v>
      </c>
      <c r="E199" s="18">
        <v>75</v>
      </c>
      <c r="F199" s="18">
        <v>1100</v>
      </c>
      <c r="G199" s="26">
        <f t="shared" si="3"/>
        <v>6818.181818181818</v>
      </c>
      <c r="H199" s="18">
        <v>3.8</v>
      </c>
    </row>
    <row r="200" spans="1:8" x14ac:dyDescent="0.35">
      <c r="A200" s="17" t="s">
        <v>528</v>
      </c>
      <c r="B200" s="17" t="s">
        <v>999</v>
      </c>
      <c r="C200" s="17" t="s">
        <v>872</v>
      </c>
      <c r="D200" s="17">
        <v>3</v>
      </c>
      <c r="E200" s="17">
        <v>85</v>
      </c>
      <c r="F200" s="17">
        <v>1700</v>
      </c>
      <c r="G200" s="26">
        <f t="shared" si="3"/>
        <v>5000</v>
      </c>
      <c r="H200" s="17"/>
    </row>
    <row r="201" spans="1:8" x14ac:dyDescent="0.35">
      <c r="A201" s="18" t="s">
        <v>528</v>
      </c>
      <c r="B201" s="18" t="s">
        <v>999</v>
      </c>
      <c r="C201" s="18" t="s">
        <v>872</v>
      </c>
      <c r="D201" s="18">
        <v>2</v>
      </c>
      <c r="E201" s="18">
        <v>75</v>
      </c>
      <c r="F201" s="18">
        <v>1410</v>
      </c>
      <c r="G201" s="26">
        <f t="shared" si="3"/>
        <v>5319.1489361702124</v>
      </c>
      <c r="H201" s="18"/>
    </row>
    <row r="202" spans="1:8" x14ac:dyDescent="0.35">
      <c r="A202" s="17" t="s">
        <v>533</v>
      </c>
      <c r="B202" s="17" t="s">
        <v>918</v>
      </c>
      <c r="C202" s="17" t="s">
        <v>872</v>
      </c>
      <c r="D202" s="17">
        <v>3</v>
      </c>
      <c r="E202" s="17">
        <v>310</v>
      </c>
      <c r="F202" s="17">
        <v>3000</v>
      </c>
      <c r="G202" s="26">
        <f t="shared" si="3"/>
        <v>10333.333333333334</v>
      </c>
      <c r="H202" s="17"/>
    </row>
    <row r="203" spans="1:8" x14ac:dyDescent="0.35">
      <c r="A203" s="18" t="s">
        <v>85</v>
      </c>
      <c r="B203" s="18" t="s">
        <v>882</v>
      </c>
      <c r="C203" s="18" t="s">
        <v>872</v>
      </c>
      <c r="D203" s="18">
        <v>2</v>
      </c>
      <c r="E203" s="18">
        <v>125</v>
      </c>
      <c r="F203" s="18">
        <v>1365</v>
      </c>
      <c r="G203" s="26">
        <f t="shared" si="3"/>
        <v>9157.5091575091574</v>
      </c>
      <c r="H203" s="18"/>
    </row>
    <row r="204" spans="1:8" x14ac:dyDescent="0.35">
      <c r="A204" s="17" t="s">
        <v>1000</v>
      </c>
      <c r="B204" s="17" t="s">
        <v>1001</v>
      </c>
      <c r="C204" s="17" t="s">
        <v>872</v>
      </c>
      <c r="D204" s="17">
        <v>1</v>
      </c>
      <c r="E204" s="17">
        <v>23</v>
      </c>
      <c r="F204" s="17">
        <v>500</v>
      </c>
      <c r="G204" s="26">
        <f t="shared" si="3"/>
        <v>4600</v>
      </c>
      <c r="H204" s="17">
        <v>4</v>
      </c>
    </row>
    <row r="205" spans="1:8" x14ac:dyDescent="0.35">
      <c r="A205" s="18" t="s">
        <v>1002</v>
      </c>
      <c r="B205" s="18" t="s">
        <v>990</v>
      </c>
      <c r="C205" s="18" t="s">
        <v>872</v>
      </c>
      <c r="D205" s="18">
        <v>3</v>
      </c>
      <c r="E205" s="18">
        <v>52</v>
      </c>
      <c r="F205" s="18">
        <v>1270</v>
      </c>
      <c r="G205" s="26">
        <f t="shared" si="3"/>
        <v>4094.4881889763778</v>
      </c>
      <c r="H205" s="18"/>
    </row>
    <row r="206" spans="1:8" x14ac:dyDescent="0.35">
      <c r="A206" s="17" t="s">
        <v>1003</v>
      </c>
      <c r="B206" s="17" t="s">
        <v>885</v>
      </c>
      <c r="C206" s="17" t="s">
        <v>872</v>
      </c>
      <c r="D206" s="17">
        <v>2</v>
      </c>
      <c r="E206" s="17">
        <v>84.7</v>
      </c>
      <c r="F206" s="17">
        <v>1210</v>
      </c>
      <c r="G206" s="26">
        <f t="shared" si="3"/>
        <v>7000</v>
      </c>
      <c r="H206" s="17"/>
    </row>
    <row r="207" spans="1:8" x14ac:dyDescent="0.35">
      <c r="A207" s="18" t="s">
        <v>947</v>
      </c>
      <c r="B207" s="18" t="s">
        <v>23</v>
      </c>
      <c r="C207" s="18" t="s">
        <v>872</v>
      </c>
      <c r="D207" s="18">
        <v>3</v>
      </c>
      <c r="E207" s="18">
        <v>245</v>
      </c>
      <c r="F207" s="18">
        <v>1810</v>
      </c>
      <c r="G207" s="26">
        <f t="shared" si="3"/>
        <v>13535.911602209944</v>
      </c>
      <c r="H207" s="18">
        <v>3.7</v>
      </c>
    </row>
    <row r="208" spans="1:8" x14ac:dyDescent="0.35">
      <c r="A208" s="17" t="s">
        <v>947</v>
      </c>
      <c r="B208" s="17" t="s">
        <v>23</v>
      </c>
      <c r="C208" s="17" t="s">
        <v>872</v>
      </c>
      <c r="D208" s="17">
        <v>3</v>
      </c>
      <c r="E208" s="17">
        <v>270</v>
      </c>
      <c r="F208" s="17">
        <v>1665</v>
      </c>
      <c r="G208" s="26">
        <f t="shared" si="3"/>
        <v>16216.216216216217</v>
      </c>
      <c r="H208" s="17">
        <v>3.7</v>
      </c>
    </row>
    <row r="209" spans="1:8" x14ac:dyDescent="0.35">
      <c r="A209" s="18" t="s">
        <v>887</v>
      </c>
      <c r="B209" s="18" t="s">
        <v>888</v>
      </c>
      <c r="C209" s="18" t="s">
        <v>872</v>
      </c>
      <c r="D209" s="18">
        <v>3</v>
      </c>
      <c r="E209" s="18">
        <v>155</v>
      </c>
      <c r="F209" s="18">
        <v>1425</v>
      </c>
      <c r="G209" s="26">
        <f t="shared" si="3"/>
        <v>10877.192982456141</v>
      </c>
      <c r="H209" s="18">
        <v>3.6</v>
      </c>
    </row>
    <row r="210" spans="1:8" x14ac:dyDescent="0.35">
      <c r="A210" s="17" t="s">
        <v>630</v>
      </c>
      <c r="B210" s="17" t="s">
        <v>11</v>
      </c>
      <c r="C210" s="17" t="s">
        <v>872</v>
      </c>
      <c r="D210" s="17">
        <v>3</v>
      </c>
      <c r="E210" s="17">
        <v>250</v>
      </c>
      <c r="F210" s="17">
        <v>1817</v>
      </c>
      <c r="G210" s="26">
        <f t="shared" si="3"/>
        <v>13758.94331315355</v>
      </c>
      <c r="H210" s="17">
        <v>4.3</v>
      </c>
    </row>
    <row r="211" spans="1:8" x14ac:dyDescent="0.35">
      <c r="A211" s="18" t="s">
        <v>1004</v>
      </c>
      <c r="B211" s="18" t="s">
        <v>876</v>
      </c>
      <c r="C211" s="18" t="s">
        <v>872</v>
      </c>
      <c r="D211" s="18">
        <v>2</v>
      </c>
      <c r="E211" s="18">
        <v>152</v>
      </c>
      <c r="F211" s="18">
        <v>1097</v>
      </c>
      <c r="G211" s="26">
        <f t="shared" si="3"/>
        <v>13855.970829535096</v>
      </c>
      <c r="H211" s="18">
        <v>3.8</v>
      </c>
    </row>
    <row r="212" spans="1:8" x14ac:dyDescent="0.35">
      <c r="A212" s="17" t="s">
        <v>554</v>
      </c>
      <c r="B212" s="17" t="s">
        <v>985</v>
      </c>
      <c r="C212" s="17" t="s">
        <v>872</v>
      </c>
      <c r="D212" s="17">
        <v>2</v>
      </c>
      <c r="E212" s="17">
        <v>85</v>
      </c>
      <c r="F212" s="17">
        <v>1348</v>
      </c>
      <c r="G212" s="26">
        <f t="shared" si="3"/>
        <v>6305.6379821958453</v>
      </c>
      <c r="H212" s="17"/>
    </row>
    <row r="213" spans="1:8" x14ac:dyDescent="0.35">
      <c r="A213" s="18" t="s">
        <v>978</v>
      </c>
      <c r="B213" s="18" t="s">
        <v>979</v>
      </c>
      <c r="C213" s="18" t="s">
        <v>872</v>
      </c>
      <c r="D213" s="18">
        <v>2</v>
      </c>
      <c r="E213" s="18">
        <v>75.2</v>
      </c>
      <c r="F213" s="18">
        <v>1021</v>
      </c>
      <c r="G213" s="26">
        <f t="shared" si="3"/>
        <v>7365.3281096963765</v>
      </c>
      <c r="H213" s="18">
        <v>3.8</v>
      </c>
    </row>
    <row r="214" spans="1:8" x14ac:dyDescent="0.35">
      <c r="A214" s="17" t="s">
        <v>1005</v>
      </c>
      <c r="B214" s="17" t="s">
        <v>1006</v>
      </c>
      <c r="C214" s="17" t="s">
        <v>872</v>
      </c>
      <c r="D214" s="17">
        <v>3</v>
      </c>
      <c r="E214" s="17">
        <v>400</v>
      </c>
      <c r="F214" s="17">
        <v>2535</v>
      </c>
      <c r="G214" s="26">
        <f t="shared" si="3"/>
        <v>15779.092702169626</v>
      </c>
      <c r="H214" s="17">
        <v>4</v>
      </c>
    </row>
    <row r="215" spans="1:8" x14ac:dyDescent="0.35">
      <c r="A215" s="18" t="s">
        <v>1007</v>
      </c>
      <c r="B215" s="18" t="s">
        <v>1008</v>
      </c>
      <c r="C215" s="18" t="s">
        <v>872</v>
      </c>
      <c r="D215" s="18">
        <v>2</v>
      </c>
      <c r="E215" s="18">
        <v>136</v>
      </c>
      <c r="F215" s="18">
        <v>1245</v>
      </c>
      <c r="G215" s="26">
        <f t="shared" si="3"/>
        <v>10923.694779116466</v>
      </c>
      <c r="H215" s="18">
        <v>3.8</v>
      </c>
    </row>
    <row r="216" spans="1:8" x14ac:dyDescent="0.35">
      <c r="A216" s="17" t="s">
        <v>1009</v>
      </c>
      <c r="B216" s="17" t="s">
        <v>914</v>
      </c>
      <c r="C216" s="17" t="s">
        <v>872</v>
      </c>
      <c r="D216" s="17">
        <v>2</v>
      </c>
      <c r="E216" s="17">
        <v>48</v>
      </c>
      <c r="F216" s="17">
        <v>883</v>
      </c>
      <c r="G216" s="26">
        <f t="shared" si="3"/>
        <v>5436.0135900339747</v>
      </c>
      <c r="H216" s="17">
        <v>4.3</v>
      </c>
    </row>
    <row r="217" spans="1:8" x14ac:dyDescent="0.35">
      <c r="A217" s="18" t="s">
        <v>1009</v>
      </c>
      <c r="B217" s="18" t="s">
        <v>914</v>
      </c>
      <c r="C217" s="18" t="s">
        <v>872</v>
      </c>
      <c r="D217" s="18">
        <v>3</v>
      </c>
      <c r="E217" s="18">
        <v>58</v>
      </c>
      <c r="F217" s="18">
        <v>1082</v>
      </c>
      <c r="G217" s="26">
        <f t="shared" si="3"/>
        <v>5360.4436229205176</v>
      </c>
      <c r="H217" s="18">
        <v>4.3</v>
      </c>
    </row>
    <row r="218" spans="1:8" x14ac:dyDescent="0.35">
      <c r="A218" s="17" t="s">
        <v>1009</v>
      </c>
      <c r="B218" s="17" t="s">
        <v>914</v>
      </c>
      <c r="C218" s="17" t="s">
        <v>872</v>
      </c>
      <c r="D218" s="17">
        <v>2</v>
      </c>
      <c r="E218" s="17">
        <v>47.5</v>
      </c>
      <c r="F218" s="17">
        <v>950</v>
      </c>
      <c r="G218" s="26">
        <f t="shared" si="3"/>
        <v>5000</v>
      </c>
      <c r="H218" s="17">
        <v>4.3</v>
      </c>
    </row>
    <row r="219" spans="1:8" x14ac:dyDescent="0.35">
      <c r="A219" s="18" t="s">
        <v>1009</v>
      </c>
      <c r="B219" s="18" t="s">
        <v>914</v>
      </c>
      <c r="C219" s="18" t="s">
        <v>872</v>
      </c>
      <c r="D219" s="18">
        <v>3</v>
      </c>
      <c r="E219" s="18">
        <v>59</v>
      </c>
      <c r="F219" s="18">
        <v>1082</v>
      </c>
      <c r="G219" s="26">
        <f t="shared" si="3"/>
        <v>5452.8650646950091</v>
      </c>
      <c r="H219" s="18">
        <v>4.3</v>
      </c>
    </row>
    <row r="220" spans="1:8" x14ac:dyDescent="0.35">
      <c r="A220" s="17" t="s">
        <v>1009</v>
      </c>
      <c r="B220" s="17" t="s">
        <v>914</v>
      </c>
      <c r="C220" s="17" t="s">
        <v>872</v>
      </c>
      <c r="D220" s="17">
        <v>3</v>
      </c>
      <c r="E220" s="17">
        <v>57.5</v>
      </c>
      <c r="F220" s="17">
        <v>1082</v>
      </c>
      <c r="G220" s="26">
        <f t="shared" si="3"/>
        <v>5314.2329020332718</v>
      </c>
      <c r="H220" s="17">
        <v>4.3</v>
      </c>
    </row>
    <row r="221" spans="1:8" x14ac:dyDescent="0.35">
      <c r="A221" s="18" t="s">
        <v>1009</v>
      </c>
      <c r="B221" s="18" t="s">
        <v>914</v>
      </c>
      <c r="C221" s="18" t="s">
        <v>872</v>
      </c>
      <c r="D221" s="18">
        <v>2</v>
      </c>
      <c r="E221" s="18">
        <v>48.5</v>
      </c>
      <c r="F221" s="18">
        <v>883</v>
      </c>
      <c r="G221" s="26">
        <f t="shared" si="3"/>
        <v>5492.6387315968286</v>
      </c>
      <c r="H221" s="18">
        <v>4.3</v>
      </c>
    </row>
    <row r="222" spans="1:8" x14ac:dyDescent="0.35">
      <c r="A222" s="17" t="s">
        <v>1009</v>
      </c>
      <c r="B222" s="17" t="s">
        <v>914</v>
      </c>
      <c r="C222" s="17" t="s">
        <v>872</v>
      </c>
      <c r="D222" s="17">
        <v>3</v>
      </c>
      <c r="E222" s="17">
        <v>57.8</v>
      </c>
      <c r="F222" s="17">
        <v>1100</v>
      </c>
      <c r="G222" s="26">
        <f t="shared" si="3"/>
        <v>5254.545454545455</v>
      </c>
      <c r="H222" s="17">
        <v>4.3</v>
      </c>
    </row>
    <row r="223" spans="1:8" x14ac:dyDescent="0.35">
      <c r="A223" s="18" t="s">
        <v>1010</v>
      </c>
      <c r="B223" s="18" t="s">
        <v>1011</v>
      </c>
      <c r="C223" s="18" t="s">
        <v>872</v>
      </c>
      <c r="D223" s="18">
        <v>3</v>
      </c>
      <c r="E223" s="18">
        <v>95</v>
      </c>
      <c r="F223" s="18">
        <v>1920</v>
      </c>
      <c r="G223" s="26">
        <f t="shared" si="3"/>
        <v>4947.916666666667</v>
      </c>
      <c r="H223" s="18"/>
    </row>
    <row r="224" spans="1:8" x14ac:dyDescent="0.35">
      <c r="A224" s="17" t="s">
        <v>1012</v>
      </c>
      <c r="B224" s="17" t="s">
        <v>1013</v>
      </c>
      <c r="C224" s="17" t="s">
        <v>872</v>
      </c>
      <c r="D224" s="17">
        <v>2</v>
      </c>
      <c r="E224" s="17">
        <v>86</v>
      </c>
      <c r="F224" s="17">
        <v>1027</v>
      </c>
      <c r="G224" s="26">
        <f t="shared" si="3"/>
        <v>8373.9045764362218</v>
      </c>
      <c r="H224" s="17"/>
    </row>
    <row r="225" spans="1:8" x14ac:dyDescent="0.35">
      <c r="A225" s="18" t="s">
        <v>1014</v>
      </c>
      <c r="B225" s="18" t="s">
        <v>1015</v>
      </c>
      <c r="C225" s="18" t="s">
        <v>872</v>
      </c>
      <c r="D225" s="18">
        <v>3</v>
      </c>
      <c r="E225" s="18">
        <v>260</v>
      </c>
      <c r="F225" s="18">
        <v>1564</v>
      </c>
      <c r="G225" s="26">
        <f t="shared" si="3"/>
        <v>16624.040920716114</v>
      </c>
      <c r="H225" s="18">
        <v>4.2</v>
      </c>
    </row>
    <row r="226" spans="1:8" x14ac:dyDescent="0.35">
      <c r="A226" s="17" t="s">
        <v>584</v>
      </c>
      <c r="B226" s="17" t="s">
        <v>1016</v>
      </c>
      <c r="C226" s="17" t="s">
        <v>872</v>
      </c>
      <c r="D226" s="17">
        <v>3</v>
      </c>
      <c r="E226" s="17">
        <v>210</v>
      </c>
      <c r="F226" s="17">
        <v>2095</v>
      </c>
      <c r="G226" s="26">
        <f t="shared" si="3"/>
        <v>10023.866348448688</v>
      </c>
      <c r="H226" s="17"/>
    </row>
    <row r="227" spans="1:8" x14ac:dyDescent="0.35">
      <c r="A227" s="18" t="s">
        <v>587</v>
      </c>
      <c r="B227" s="18" t="s">
        <v>1017</v>
      </c>
      <c r="C227" s="18" t="s">
        <v>872</v>
      </c>
      <c r="D227" s="18">
        <v>3</v>
      </c>
      <c r="E227" s="18">
        <v>150</v>
      </c>
      <c r="F227" s="18">
        <v>1700</v>
      </c>
      <c r="G227" s="26">
        <f t="shared" si="3"/>
        <v>8823.5294117647063</v>
      </c>
      <c r="H227" s="18"/>
    </row>
    <row r="228" spans="1:8" x14ac:dyDescent="0.35">
      <c r="A228" s="17" t="s">
        <v>909</v>
      </c>
      <c r="B228" s="17" t="s">
        <v>910</v>
      </c>
      <c r="C228" s="17" t="s">
        <v>872</v>
      </c>
      <c r="D228" s="17">
        <v>3</v>
      </c>
      <c r="E228" s="17">
        <v>130</v>
      </c>
      <c r="F228" s="17">
        <v>1254</v>
      </c>
      <c r="G228" s="26">
        <f t="shared" si="3"/>
        <v>10366.826156299841</v>
      </c>
      <c r="H228" s="17">
        <v>4</v>
      </c>
    </row>
    <row r="229" spans="1:8" x14ac:dyDescent="0.35">
      <c r="A229" s="18" t="s">
        <v>1018</v>
      </c>
      <c r="B229" s="18" t="s">
        <v>1019</v>
      </c>
      <c r="C229" s="18" t="s">
        <v>872</v>
      </c>
      <c r="D229" s="18">
        <v>2</v>
      </c>
      <c r="E229" s="18">
        <v>65</v>
      </c>
      <c r="F229" s="18">
        <v>1060</v>
      </c>
      <c r="G229" s="26">
        <f t="shared" si="3"/>
        <v>6132.0754716981128</v>
      </c>
      <c r="H229" s="18"/>
    </row>
    <row r="230" spans="1:8" x14ac:dyDescent="0.35">
      <c r="A230" s="17" t="s">
        <v>1018</v>
      </c>
      <c r="B230" s="17" t="s">
        <v>1019</v>
      </c>
      <c r="C230" s="17" t="s">
        <v>872</v>
      </c>
      <c r="D230" s="17">
        <v>2</v>
      </c>
      <c r="E230" s="17">
        <v>60</v>
      </c>
      <c r="F230" s="17">
        <v>1060</v>
      </c>
      <c r="G230" s="26">
        <f t="shared" si="3"/>
        <v>5660.3773584905657</v>
      </c>
      <c r="H230" s="17"/>
    </row>
    <row r="231" spans="1:8" x14ac:dyDescent="0.35">
      <c r="A231" s="18" t="s">
        <v>400</v>
      </c>
      <c r="B231" s="18" t="s">
        <v>970</v>
      </c>
      <c r="C231" s="18" t="s">
        <v>872</v>
      </c>
      <c r="D231" s="18">
        <v>3</v>
      </c>
      <c r="E231" s="18">
        <v>240</v>
      </c>
      <c r="F231" s="18">
        <v>1750</v>
      </c>
      <c r="G231" s="26">
        <f t="shared" si="3"/>
        <v>13714.285714285714</v>
      </c>
      <c r="H231" s="18"/>
    </row>
    <row r="232" spans="1:8" x14ac:dyDescent="0.35">
      <c r="A232" s="17" t="s">
        <v>1020</v>
      </c>
      <c r="B232" s="17" t="s">
        <v>970</v>
      </c>
      <c r="C232" s="17" t="s">
        <v>872</v>
      </c>
      <c r="D232" s="17">
        <v>1</v>
      </c>
      <c r="E232" s="17">
        <v>78</v>
      </c>
      <c r="F232" s="17">
        <v>665</v>
      </c>
      <c r="G232" s="26">
        <f t="shared" si="3"/>
        <v>11729.323308270677</v>
      </c>
      <c r="H232" s="17">
        <v>4.3</v>
      </c>
    </row>
    <row r="233" spans="1:8" x14ac:dyDescent="0.35">
      <c r="A233" s="18" t="s">
        <v>400</v>
      </c>
      <c r="B233" s="18" t="s">
        <v>970</v>
      </c>
      <c r="C233" s="18" t="s">
        <v>872</v>
      </c>
      <c r="D233" s="18">
        <v>2</v>
      </c>
      <c r="E233" s="18">
        <v>160</v>
      </c>
      <c r="F233" s="18">
        <v>1589</v>
      </c>
      <c r="G233" s="26">
        <f t="shared" si="3"/>
        <v>10069.225928256765</v>
      </c>
      <c r="H233" s="18"/>
    </row>
    <row r="234" spans="1:8" x14ac:dyDescent="0.35">
      <c r="A234" s="17" t="s">
        <v>600</v>
      </c>
      <c r="B234" s="17" t="s">
        <v>1021</v>
      </c>
      <c r="C234" s="17" t="s">
        <v>872</v>
      </c>
      <c r="D234" s="17">
        <v>3</v>
      </c>
      <c r="E234" s="17">
        <v>350</v>
      </c>
      <c r="F234" s="17">
        <v>2000</v>
      </c>
      <c r="G234" s="26">
        <f t="shared" si="3"/>
        <v>17500</v>
      </c>
      <c r="H234" s="17"/>
    </row>
    <row r="235" spans="1:8" x14ac:dyDescent="0.35">
      <c r="A235" s="18" t="s">
        <v>533</v>
      </c>
      <c r="B235" s="18" t="s">
        <v>918</v>
      </c>
      <c r="C235" s="18" t="s">
        <v>872</v>
      </c>
      <c r="D235" s="18">
        <v>3</v>
      </c>
      <c r="E235" s="18">
        <v>315</v>
      </c>
      <c r="F235" s="18">
        <v>2900</v>
      </c>
      <c r="G235" s="26">
        <f t="shared" si="3"/>
        <v>10862.068965517241</v>
      </c>
      <c r="H235" s="18"/>
    </row>
    <row r="236" spans="1:8" x14ac:dyDescent="0.35">
      <c r="A236" s="17" t="s">
        <v>978</v>
      </c>
      <c r="B236" s="17" t="s">
        <v>979</v>
      </c>
      <c r="C236" s="17" t="s">
        <v>872</v>
      </c>
      <c r="D236" s="17">
        <v>1</v>
      </c>
      <c r="E236" s="17">
        <v>54</v>
      </c>
      <c r="F236" s="17">
        <v>688</v>
      </c>
      <c r="G236" s="26">
        <f t="shared" si="3"/>
        <v>7848.8372093023254</v>
      </c>
      <c r="H236" s="17">
        <v>3.8</v>
      </c>
    </row>
    <row r="237" spans="1:8" x14ac:dyDescent="0.35">
      <c r="A237" s="18" t="s">
        <v>978</v>
      </c>
      <c r="B237" s="18" t="s">
        <v>979</v>
      </c>
      <c r="C237" s="18" t="s">
        <v>872</v>
      </c>
      <c r="D237" s="18">
        <v>1</v>
      </c>
      <c r="E237" s="18">
        <v>54.5</v>
      </c>
      <c r="F237" s="18">
        <v>688</v>
      </c>
      <c r="G237" s="26">
        <f t="shared" si="3"/>
        <v>7921.5116279069771</v>
      </c>
      <c r="H237" s="18">
        <v>3.8</v>
      </c>
    </row>
    <row r="238" spans="1:8" ht="25" x14ac:dyDescent="0.35">
      <c r="A238" s="17" t="s">
        <v>404</v>
      </c>
      <c r="B238" s="17" t="s">
        <v>876</v>
      </c>
      <c r="C238" s="17" t="s">
        <v>872</v>
      </c>
      <c r="D238" s="17">
        <v>3</v>
      </c>
      <c r="E238" s="17">
        <v>218</v>
      </c>
      <c r="F238" s="17">
        <v>1645</v>
      </c>
      <c r="G238" s="26">
        <f t="shared" si="3"/>
        <v>13252.279635258359</v>
      </c>
      <c r="H238" s="17"/>
    </row>
    <row r="239" spans="1:8" x14ac:dyDescent="0.35">
      <c r="A239" s="18" t="s">
        <v>98</v>
      </c>
      <c r="B239" s="18" t="s">
        <v>871</v>
      </c>
      <c r="C239" s="18" t="s">
        <v>872</v>
      </c>
      <c r="D239" s="18">
        <v>2</v>
      </c>
      <c r="E239" s="18">
        <v>155</v>
      </c>
      <c r="F239" s="18">
        <v>1347</v>
      </c>
      <c r="G239" s="26">
        <f t="shared" si="3"/>
        <v>11507.052709725316</v>
      </c>
      <c r="H239" s="18"/>
    </row>
    <row r="240" spans="1:8" x14ac:dyDescent="0.35">
      <c r="A240" s="17" t="s">
        <v>98</v>
      </c>
      <c r="B240" s="17" t="s">
        <v>871</v>
      </c>
      <c r="C240" s="17" t="s">
        <v>872</v>
      </c>
      <c r="D240" s="17">
        <v>3</v>
      </c>
      <c r="E240" s="17">
        <v>190</v>
      </c>
      <c r="F240" s="17">
        <v>1536</v>
      </c>
      <c r="G240" s="26">
        <f t="shared" si="3"/>
        <v>12369.791666666666</v>
      </c>
      <c r="H240" s="17"/>
    </row>
    <row r="241" spans="1:8" x14ac:dyDescent="0.35">
      <c r="A241" s="18" t="s">
        <v>1022</v>
      </c>
      <c r="B241" s="18" t="s">
        <v>23</v>
      </c>
      <c r="C241" s="18" t="s">
        <v>872</v>
      </c>
      <c r="D241" s="18">
        <v>3</v>
      </c>
      <c r="E241" s="18">
        <v>310</v>
      </c>
      <c r="F241" s="18">
        <v>2041</v>
      </c>
      <c r="G241" s="26">
        <f t="shared" si="3"/>
        <v>15188.633023027927</v>
      </c>
      <c r="H241" s="18">
        <v>4.0999999999999996</v>
      </c>
    </row>
    <row r="242" spans="1:8" x14ac:dyDescent="0.35">
      <c r="A242" s="17" t="s">
        <v>613</v>
      </c>
      <c r="B242" s="17" t="s">
        <v>23</v>
      </c>
      <c r="C242" s="17" t="s">
        <v>872</v>
      </c>
      <c r="D242" s="17">
        <v>1</v>
      </c>
      <c r="E242" s="17">
        <v>83</v>
      </c>
      <c r="F242" s="17">
        <v>655</v>
      </c>
      <c r="G242" s="26">
        <f t="shared" si="3"/>
        <v>12671.75572519084</v>
      </c>
      <c r="H242" s="17"/>
    </row>
    <row r="243" spans="1:8" x14ac:dyDescent="0.35">
      <c r="A243" s="18" t="s">
        <v>877</v>
      </c>
      <c r="B243" s="18" t="s">
        <v>25</v>
      </c>
      <c r="C243" s="18" t="s">
        <v>872</v>
      </c>
      <c r="D243" s="18">
        <v>3</v>
      </c>
      <c r="E243" s="18">
        <v>192</v>
      </c>
      <c r="F243" s="18">
        <v>1348</v>
      </c>
      <c r="G243" s="26">
        <f t="shared" si="3"/>
        <v>14243.323442136498</v>
      </c>
      <c r="H243" s="18">
        <v>3.9</v>
      </c>
    </row>
    <row r="244" spans="1:8" x14ac:dyDescent="0.35">
      <c r="A244" s="17" t="s">
        <v>1023</v>
      </c>
      <c r="B244" s="17" t="s">
        <v>1024</v>
      </c>
      <c r="C244" s="17" t="s">
        <v>872</v>
      </c>
      <c r="D244" s="17">
        <v>3</v>
      </c>
      <c r="E244" s="17">
        <v>115</v>
      </c>
      <c r="F244" s="17">
        <v>1428</v>
      </c>
      <c r="G244" s="26">
        <f t="shared" si="3"/>
        <v>8053.2212885154058</v>
      </c>
      <c r="H244" s="17">
        <v>3.8</v>
      </c>
    </row>
    <row r="245" spans="1:8" x14ac:dyDescent="0.35">
      <c r="A245" s="18" t="s">
        <v>329</v>
      </c>
      <c r="B245" s="18" t="s">
        <v>884</v>
      </c>
      <c r="C245" s="18" t="s">
        <v>872</v>
      </c>
      <c r="D245" s="18">
        <v>2</v>
      </c>
      <c r="E245" s="18">
        <v>72</v>
      </c>
      <c r="F245" s="18">
        <v>1005</v>
      </c>
      <c r="G245" s="26">
        <f t="shared" si="3"/>
        <v>7164.1791044776119</v>
      </c>
      <c r="H245" s="18"/>
    </row>
    <row r="246" spans="1:8" x14ac:dyDescent="0.35">
      <c r="A246" s="17" t="s">
        <v>329</v>
      </c>
      <c r="B246" s="17" t="s">
        <v>884</v>
      </c>
      <c r="C246" s="17" t="s">
        <v>872</v>
      </c>
      <c r="D246" s="17">
        <v>2</v>
      </c>
      <c r="E246" s="17">
        <v>83</v>
      </c>
      <c r="F246" s="17">
        <v>1160</v>
      </c>
      <c r="G246" s="26">
        <f t="shared" si="3"/>
        <v>7155.1724137931033</v>
      </c>
      <c r="H246" s="17"/>
    </row>
    <row r="247" spans="1:8" x14ac:dyDescent="0.35">
      <c r="A247" s="18" t="s">
        <v>93</v>
      </c>
      <c r="B247" s="18" t="s">
        <v>871</v>
      </c>
      <c r="C247" s="18" t="s">
        <v>872</v>
      </c>
      <c r="D247" s="18">
        <v>3</v>
      </c>
      <c r="E247" s="18">
        <v>93.62</v>
      </c>
      <c r="F247" s="18">
        <v>1350</v>
      </c>
      <c r="G247" s="26">
        <f t="shared" si="3"/>
        <v>6934.8148148148148</v>
      </c>
      <c r="H247" s="18"/>
    </row>
    <row r="248" spans="1:8" x14ac:dyDescent="0.35">
      <c r="A248" s="17" t="s">
        <v>329</v>
      </c>
      <c r="B248" s="17" t="s">
        <v>884</v>
      </c>
      <c r="C248" s="17" t="s">
        <v>872</v>
      </c>
      <c r="D248" s="17">
        <v>3</v>
      </c>
      <c r="E248" s="17">
        <v>99</v>
      </c>
      <c r="F248" s="17">
        <v>1405</v>
      </c>
      <c r="G248" s="26">
        <f t="shared" si="3"/>
        <v>7046.2633451957299</v>
      </c>
      <c r="H248" s="17"/>
    </row>
    <row r="249" spans="1:8" x14ac:dyDescent="0.35">
      <c r="A249" s="18" t="s">
        <v>1025</v>
      </c>
      <c r="B249" s="18" t="s">
        <v>910</v>
      </c>
      <c r="C249" s="18" t="s">
        <v>872</v>
      </c>
      <c r="D249" s="18">
        <v>3</v>
      </c>
      <c r="E249" s="18">
        <v>139</v>
      </c>
      <c r="F249" s="18">
        <v>1308</v>
      </c>
      <c r="G249" s="26">
        <f t="shared" si="3"/>
        <v>10626.911314984709</v>
      </c>
      <c r="H249" s="18">
        <v>4.0999999999999996</v>
      </c>
    </row>
    <row r="250" spans="1:8" x14ac:dyDescent="0.35">
      <c r="A250" s="17" t="s">
        <v>938</v>
      </c>
      <c r="B250" s="17" t="s">
        <v>1026</v>
      </c>
      <c r="C250" s="17" t="s">
        <v>872</v>
      </c>
      <c r="D250" s="17">
        <v>3</v>
      </c>
      <c r="E250" s="17">
        <v>265</v>
      </c>
      <c r="F250" s="17">
        <v>2000</v>
      </c>
      <c r="G250" s="26">
        <f t="shared" si="3"/>
        <v>13250</v>
      </c>
      <c r="H250" s="17"/>
    </row>
    <row r="251" spans="1:8" x14ac:dyDescent="0.35">
      <c r="A251" s="18" t="s">
        <v>1027</v>
      </c>
      <c r="B251" s="18" t="s">
        <v>1013</v>
      </c>
      <c r="C251" s="18" t="s">
        <v>872</v>
      </c>
      <c r="D251" s="18">
        <v>2</v>
      </c>
      <c r="E251" s="18">
        <v>106</v>
      </c>
      <c r="F251" s="18">
        <v>1230</v>
      </c>
      <c r="G251" s="26">
        <f t="shared" si="3"/>
        <v>8617.8861788617887</v>
      </c>
      <c r="H251" s="18">
        <v>3.4</v>
      </c>
    </row>
    <row r="252" spans="1:8" x14ac:dyDescent="0.35">
      <c r="A252" s="17" t="s">
        <v>900</v>
      </c>
      <c r="B252" s="17" t="s">
        <v>901</v>
      </c>
      <c r="C252" s="17" t="s">
        <v>872</v>
      </c>
      <c r="D252" s="17">
        <v>2</v>
      </c>
      <c r="E252" s="17">
        <v>99</v>
      </c>
      <c r="F252" s="17">
        <v>955</v>
      </c>
      <c r="G252" s="26">
        <f t="shared" si="3"/>
        <v>10366.492146596858</v>
      </c>
      <c r="H252" s="17">
        <v>4.0999999999999996</v>
      </c>
    </row>
    <row r="253" spans="1:8" x14ac:dyDescent="0.35">
      <c r="A253" s="18" t="s">
        <v>1028</v>
      </c>
      <c r="B253" s="18" t="s">
        <v>990</v>
      </c>
      <c r="C253" s="18" t="s">
        <v>872</v>
      </c>
      <c r="D253" s="18">
        <v>3</v>
      </c>
      <c r="E253" s="18">
        <v>55</v>
      </c>
      <c r="F253" s="18">
        <v>1395</v>
      </c>
      <c r="G253" s="26">
        <f t="shared" si="3"/>
        <v>3942.652329749104</v>
      </c>
      <c r="H253" s="18">
        <v>3.8</v>
      </c>
    </row>
    <row r="254" spans="1:8" x14ac:dyDescent="0.35">
      <c r="A254" s="17" t="s">
        <v>630</v>
      </c>
      <c r="B254" s="17" t="s">
        <v>11</v>
      </c>
      <c r="C254" s="17" t="s">
        <v>872</v>
      </c>
      <c r="D254" s="17">
        <v>3</v>
      </c>
      <c r="E254" s="17">
        <v>240</v>
      </c>
      <c r="F254" s="17">
        <v>1817</v>
      </c>
      <c r="G254" s="26">
        <f t="shared" si="3"/>
        <v>13208.585580627408</v>
      </c>
      <c r="H254" s="17">
        <v>4.3</v>
      </c>
    </row>
    <row r="255" spans="1:8" x14ac:dyDescent="0.35">
      <c r="A255" s="18" t="s">
        <v>630</v>
      </c>
      <c r="B255" s="18" t="s">
        <v>11</v>
      </c>
      <c r="C255" s="18" t="s">
        <v>872</v>
      </c>
      <c r="D255" s="18">
        <v>4</v>
      </c>
      <c r="E255" s="18">
        <v>305</v>
      </c>
      <c r="F255" s="18">
        <v>2207</v>
      </c>
      <c r="G255" s="26">
        <f t="shared" si="3"/>
        <v>13819.664703217037</v>
      </c>
      <c r="H255" s="18">
        <v>4.3</v>
      </c>
    </row>
    <row r="256" spans="1:8" x14ac:dyDescent="0.35">
      <c r="A256" s="17" t="s">
        <v>632</v>
      </c>
      <c r="B256" s="17" t="s">
        <v>11</v>
      </c>
      <c r="C256" s="17" t="s">
        <v>872</v>
      </c>
      <c r="D256" s="17">
        <v>2</v>
      </c>
      <c r="E256" s="17">
        <v>135</v>
      </c>
      <c r="F256" s="17">
        <v>1235</v>
      </c>
      <c r="G256" s="26">
        <f t="shared" si="3"/>
        <v>10931.174089068825</v>
      </c>
      <c r="H256" s="17"/>
    </row>
    <row r="257" spans="1:8" x14ac:dyDescent="0.35">
      <c r="A257" s="18" t="s">
        <v>634</v>
      </c>
      <c r="B257" s="18" t="s">
        <v>1029</v>
      </c>
      <c r="C257" s="18" t="s">
        <v>872</v>
      </c>
      <c r="D257" s="18">
        <v>3</v>
      </c>
      <c r="E257" s="18">
        <v>134</v>
      </c>
      <c r="F257" s="18">
        <v>1701</v>
      </c>
      <c r="G257" s="26">
        <f t="shared" si="3"/>
        <v>7877.7189888301</v>
      </c>
      <c r="H257" s="18"/>
    </row>
    <row r="258" spans="1:8" x14ac:dyDescent="0.35">
      <c r="A258" s="17" t="s">
        <v>638</v>
      </c>
      <c r="B258" s="17" t="s">
        <v>1030</v>
      </c>
      <c r="C258" s="17" t="s">
        <v>872</v>
      </c>
      <c r="D258" s="17">
        <v>3</v>
      </c>
      <c r="E258" s="17">
        <v>94</v>
      </c>
      <c r="F258" s="17">
        <v>1330</v>
      </c>
      <c r="G258" s="26">
        <f t="shared" si="3"/>
        <v>7067.6691729323311</v>
      </c>
      <c r="H258" s="17"/>
    </row>
    <row r="259" spans="1:8" x14ac:dyDescent="0.35">
      <c r="A259" s="18" t="s">
        <v>416</v>
      </c>
      <c r="B259" s="18" t="s">
        <v>993</v>
      </c>
      <c r="C259" s="18" t="s">
        <v>872</v>
      </c>
      <c r="D259" s="18">
        <v>3</v>
      </c>
      <c r="E259" s="18">
        <v>70.98</v>
      </c>
      <c r="F259" s="18">
        <v>1610</v>
      </c>
      <c r="G259" s="26">
        <f t="shared" si="3"/>
        <v>4408.695652173913</v>
      </c>
      <c r="H259" s="18">
        <v>3.9</v>
      </c>
    </row>
    <row r="260" spans="1:8" x14ac:dyDescent="0.35">
      <c r="A260" s="17" t="s">
        <v>995</v>
      </c>
      <c r="B260" s="17" t="s">
        <v>996</v>
      </c>
      <c r="C260" s="17" t="s">
        <v>872</v>
      </c>
      <c r="D260" s="17">
        <v>2</v>
      </c>
      <c r="E260" s="17">
        <v>163</v>
      </c>
      <c r="F260" s="17">
        <v>1195</v>
      </c>
      <c r="G260" s="26">
        <f t="shared" si="3"/>
        <v>13640.167364016736</v>
      </c>
      <c r="H260" s="17">
        <v>4.3</v>
      </c>
    </row>
    <row r="261" spans="1:8" x14ac:dyDescent="0.35">
      <c r="A261" s="18" t="s">
        <v>416</v>
      </c>
      <c r="B261" s="18" t="s">
        <v>993</v>
      </c>
      <c r="C261" s="18" t="s">
        <v>872</v>
      </c>
      <c r="D261" s="18">
        <v>2</v>
      </c>
      <c r="E261" s="18">
        <v>54.42</v>
      </c>
      <c r="F261" s="18">
        <v>1225</v>
      </c>
      <c r="G261" s="26">
        <f t="shared" ref="G261:G324" si="4" xml:space="preserve"> (E261 * 100000) / F261</f>
        <v>4442.4489795918371</v>
      </c>
      <c r="H261" s="18">
        <v>3.9</v>
      </c>
    </row>
    <row r="262" spans="1:8" x14ac:dyDescent="0.35">
      <c r="A262" s="17" t="s">
        <v>632</v>
      </c>
      <c r="B262" s="17" t="s">
        <v>11</v>
      </c>
      <c r="C262" s="17" t="s">
        <v>872</v>
      </c>
      <c r="D262" s="17">
        <v>4</v>
      </c>
      <c r="E262" s="17">
        <v>255</v>
      </c>
      <c r="F262" s="17">
        <v>2067</v>
      </c>
      <c r="G262" s="26">
        <f t="shared" si="4"/>
        <v>12336.719883889695</v>
      </c>
      <c r="H262" s="17"/>
    </row>
    <row r="263" spans="1:8" x14ac:dyDescent="0.35">
      <c r="A263" s="18" t="s">
        <v>1031</v>
      </c>
      <c r="B263" s="18" t="s">
        <v>956</v>
      </c>
      <c r="C263" s="18" t="s">
        <v>872</v>
      </c>
      <c r="D263" s="18">
        <v>2</v>
      </c>
      <c r="E263" s="18">
        <v>47.56</v>
      </c>
      <c r="F263" s="18">
        <v>1044</v>
      </c>
      <c r="G263" s="26">
        <f t="shared" si="4"/>
        <v>4555.5555555555557</v>
      </c>
      <c r="H263" s="18"/>
    </row>
    <row r="264" spans="1:8" x14ac:dyDescent="0.35">
      <c r="A264" s="17" t="s">
        <v>1032</v>
      </c>
      <c r="B264" s="17" t="s">
        <v>902</v>
      </c>
      <c r="C264" s="17" t="s">
        <v>872</v>
      </c>
      <c r="D264" s="17">
        <v>3</v>
      </c>
      <c r="E264" s="17">
        <v>135</v>
      </c>
      <c r="F264" s="17">
        <v>1390</v>
      </c>
      <c r="G264" s="26">
        <f t="shared" si="4"/>
        <v>9712.2302158273378</v>
      </c>
      <c r="H264" s="17">
        <v>4.0999999999999996</v>
      </c>
    </row>
    <row r="265" spans="1:8" x14ac:dyDescent="0.35">
      <c r="A265" s="18" t="s">
        <v>1033</v>
      </c>
      <c r="B265" s="18" t="s">
        <v>1034</v>
      </c>
      <c r="C265" s="18" t="s">
        <v>872</v>
      </c>
      <c r="D265" s="18">
        <v>3</v>
      </c>
      <c r="E265" s="18">
        <v>118</v>
      </c>
      <c r="F265" s="18">
        <v>1200</v>
      </c>
      <c r="G265" s="26">
        <f t="shared" si="4"/>
        <v>9833.3333333333339</v>
      </c>
      <c r="H265" s="18"/>
    </row>
    <row r="266" spans="1:8" x14ac:dyDescent="0.35">
      <c r="A266" s="17" t="s">
        <v>1035</v>
      </c>
      <c r="B266" s="17" t="s">
        <v>1034</v>
      </c>
      <c r="C266" s="17" t="s">
        <v>872</v>
      </c>
      <c r="D266" s="17">
        <v>3</v>
      </c>
      <c r="E266" s="17">
        <v>118</v>
      </c>
      <c r="F266" s="17">
        <v>1201</v>
      </c>
      <c r="G266" s="26">
        <f t="shared" si="4"/>
        <v>9825.1457119067436</v>
      </c>
      <c r="H266" s="17"/>
    </row>
    <row r="267" spans="1:8" ht="37.5" x14ac:dyDescent="0.35">
      <c r="A267" s="18" t="s">
        <v>1036</v>
      </c>
      <c r="B267" s="18" t="s">
        <v>1037</v>
      </c>
      <c r="C267" s="18" t="s">
        <v>872</v>
      </c>
      <c r="D267" s="18">
        <v>3</v>
      </c>
      <c r="E267" s="18">
        <v>168</v>
      </c>
      <c r="F267" s="18">
        <v>2400</v>
      </c>
      <c r="G267" s="26">
        <f t="shared" si="4"/>
        <v>7000</v>
      </c>
      <c r="H267" s="18"/>
    </row>
    <row r="268" spans="1:8" x14ac:dyDescent="0.35">
      <c r="A268" s="17" t="s">
        <v>919</v>
      </c>
      <c r="B268" s="17" t="s">
        <v>920</v>
      </c>
      <c r="C268" s="17" t="s">
        <v>872</v>
      </c>
      <c r="D268" s="17">
        <v>2</v>
      </c>
      <c r="E268" s="17">
        <v>115</v>
      </c>
      <c r="F268" s="17">
        <v>1004</v>
      </c>
      <c r="G268" s="26">
        <f t="shared" si="4"/>
        <v>11454.18326693227</v>
      </c>
      <c r="H268" s="17">
        <v>3.7</v>
      </c>
    </row>
    <row r="269" spans="1:8" x14ac:dyDescent="0.35">
      <c r="A269" s="18" t="s">
        <v>663</v>
      </c>
      <c r="B269" s="18" t="s">
        <v>902</v>
      </c>
      <c r="C269" s="18" t="s">
        <v>872</v>
      </c>
      <c r="D269" s="18">
        <v>3</v>
      </c>
      <c r="E269" s="18">
        <v>122</v>
      </c>
      <c r="F269" s="18">
        <v>1781</v>
      </c>
      <c r="G269" s="26">
        <f t="shared" si="4"/>
        <v>6850.0842223469963</v>
      </c>
      <c r="H269" s="18"/>
    </row>
    <row r="270" spans="1:8" x14ac:dyDescent="0.35">
      <c r="A270" s="17" t="s">
        <v>1038</v>
      </c>
      <c r="B270" s="17" t="s">
        <v>1039</v>
      </c>
      <c r="C270" s="17" t="s">
        <v>872</v>
      </c>
      <c r="D270" s="17">
        <v>2</v>
      </c>
      <c r="E270" s="17">
        <v>112</v>
      </c>
      <c r="F270" s="17">
        <v>1134</v>
      </c>
      <c r="G270" s="26">
        <f t="shared" si="4"/>
        <v>9876.5432098765432</v>
      </c>
      <c r="H270" s="17">
        <v>4</v>
      </c>
    </row>
    <row r="271" spans="1:8" x14ac:dyDescent="0.35">
      <c r="A271" s="18" t="s">
        <v>971</v>
      </c>
      <c r="B271" s="18" t="s">
        <v>972</v>
      </c>
      <c r="C271" s="18" t="s">
        <v>872</v>
      </c>
      <c r="D271" s="18">
        <v>2</v>
      </c>
      <c r="E271" s="18">
        <v>126</v>
      </c>
      <c r="F271" s="18">
        <v>1073</v>
      </c>
      <c r="G271" s="26">
        <f t="shared" si="4"/>
        <v>11742.77726001864</v>
      </c>
      <c r="H271" s="18">
        <v>4.0999999999999996</v>
      </c>
    </row>
    <row r="272" spans="1:8" x14ac:dyDescent="0.35">
      <c r="A272" s="17" t="s">
        <v>1040</v>
      </c>
      <c r="B272" s="17" t="s">
        <v>898</v>
      </c>
      <c r="C272" s="17" t="s">
        <v>872</v>
      </c>
      <c r="D272" s="17">
        <v>2</v>
      </c>
      <c r="E272" s="17">
        <v>50</v>
      </c>
      <c r="F272" s="17">
        <v>1026</v>
      </c>
      <c r="G272" s="26">
        <f t="shared" si="4"/>
        <v>4873.2943469785578</v>
      </c>
      <c r="H272" s="17"/>
    </row>
    <row r="273" spans="1:8" x14ac:dyDescent="0.35">
      <c r="A273" s="18" t="s">
        <v>100</v>
      </c>
      <c r="B273" s="18" t="s">
        <v>885</v>
      </c>
      <c r="C273" s="18" t="s">
        <v>872</v>
      </c>
      <c r="D273" s="18">
        <v>3</v>
      </c>
      <c r="E273" s="18">
        <v>145</v>
      </c>
      <c r="F273" s="18">
        <v>1311</v>
      </c>
      <c r="G273" s="26">
        <f t="shared" si="4"/>
        <v>11060.259344012204</v>
      </c>
      <c r="H273" s="18"/>
    </row>
    <row r="274" spans="1:8" ht="25" x14ac:dyDescent="0.35">
      <c r="A274" s="17" t="s">
        <v>673</v>
      </c>
      <c r="B274" s="17" t="s">
        <v>1041</v>
      </c>
      <c r="C274" s="17" t="s">
        <v>872</v>
      </c>
      <c r="D274" s="17">
        <v>3</v>
      </c>
      <c r="E274" s="17">
        <v>240</v>
      </c>
      <c r="F274" s="17">
        <v>2200</v>
      </c>
      <c r="G274" s="26">
        <f t="shared" si="4"/>
        <v>10909.09090909091</v>
      </c>
      <c r="H274" s="17"/>
    </row>
    <row r="275" spans="1:8" x14ac:dyDescent="0.35">
      <c r="A275" s="18" t="s">
        <v>938</v>
      </c>
      <c r="B275" s="18" t="s">
        <v>1042</v>
      </c>
      <c r="C275" s="18" t="s">
        <v>872</v>
      </c>
      <c r="D275" s="18">
        <v>3</v>
      </c>
      <c r="E275" s="18">
        <v>215</v>
      </c>
      <c r="F275" s="18">
        <v>1950</v>
      </c>
      <c r="G275" s="26">
        <f t="shared" si="4"/>
        <v>11025.641025641025</v>
      </c>
      <c r="H275" s="18"/>
    </row>
    <row r="276" spans="1:8" x14ac:dyDescent="0.35">
      <c r="A276" s="17" t="s">
        <v>1043</v>
      </c>
      <c r="B276" s="17" t="s">
        <v>1044</v>
      </c>
      <c r="C276" s="17" t="s">
        <v>872</v>
      </c>
      <c r="D276" s="17">
        <v>3</v>
      </c>
      <c r="E276" s="17">
        <v>250</v>
      </c>
      <c r="F276" s="17">
        <v>2000</v>
      </c>
      <c r="G276" s="26">
        <f t="shared" si="4"/>
        <v>12500</v>
      </c>
      <c r="H276" s="17"/>
    </row>
    <row r="277" spans="1:8" x14ac:dyDescent="0.35">
      <c r="A277" s="18" t="s">
        <v>1025</v>
      </c>
      <c r="B277" s="18" t="s">
        <v>910</v>
      </c>
      <c r="C277" s="18" t="s">
        <v>872</v>
      </c>
      <c r="D277" s="18">
        <v>3</v>
      </c>
      <c r="E277" s="18">
        <v>105</v>
      </c>
      <c r="F277" s="18">
        <v>1180</v>
      </c>
      <c r="G277" s="26">
        <f t="shared" si="4"/>
        <v>8898.3050847457635</v>
      </c>
      <c r="H277" s="18">
        <v>4.0999999999999996</v>
      </c>
    </row>
    <row r="278" spans="1:8" x14ac:dyDescent="0.35">
      <c r="A278" s="17" t="s">
        <v>900</v>
      </c>
      <c r="B278" s="17" t="s">
        <v>901</v>
      </c>
      <c r="C278" s="17" t="s">
        <v>872</v>
      </c>
      <c r="D278" s="17">
        <v>3</v>
      </c>
      <c r="E278" s="17">
        <v>145</v>
      </c>
      <c r="F278" s="17">
        <v>1431</v>
      </c>
      <c r="G278" s="26">
        <f t="shared" si="4"/>
        <v>10132.774283717679</v>
      </c>
      <c r="H278" s="17">
        <v>4.0999999999999996</v>
      </c>
    </row>
    <row r="279" spans="1:8" x14ac:dyDescent="0.35">
      <c r="A279" s="18" t="s">
        <v>681</v>
      </c>
      <c r="B279" s="18" t="s">
        <v>1045</v>
      </c>
      <c r="C279" s="18" t="s">
        <v>875</v>
      </c>
      <c r="D279" s="18">
        <v>5</v>
      </c>
      <c r="E279" s="18">
        <v>300</v>
      </c>
      <c r="F279" s="18">
        <v>2758</v>
      </c>
      <c r="G279" s="26">
        <f t="shared" si="4"/>
        <v>10877.447425670776</v>
      </c>
      <c r="H279" s="18"/>
    </row>
    <row r="280" spans="1:8" ht="25" x14ac:dyDescent="0.35">
      <c r="A280" s="17" t="s">
        <v>195</v>
      </c>
      <c r="B280" s="17" t="s">
        <v>912</v>
      </c>
      <c r="C280" s="17" t="s">
        <v>872</v>
      </c>
      <c r="D280" s="17">
        <v>3</v>
      </c>
      <c r="E280" s="17">
        <v>180</v>
      </c>
      <c r="F280" s="17">
        <v>1581</v>
      </c>
      <c r="G280" s="26">
        <f t="shared" si="4"/>
        <v>11385.199240986718</v>
      </c>
      <c r="H280" s="17"/>
    </row>
    <row r="281" spans="1:8" x14ac:dyDescent="0.35">
      <c r="A281" s="18" t="s">
        <v>686</v>
      </c>
      <c r="B281" s="18" t="s">
        <v>945</v>
      </c>
      <c r="C281" s="18" t="s">
        <v>872</v>
      </c>
      <c r="D281" s="18">
        <v>3</v>
      </c>
      <c r="E281" s="18">
        <v>165</v>
      </c>
      <c r="F281" s="18">
        <v>1750</v>
      </c>
      <c r="G281" s="26">
        <f t="shared" si="4"/>
        <v>9428.5714285714294</v>
      </c>
      <c r="H281" s="18"/>
    </row>
    <row r="282" spans="1:8" ht="25" x14ac:dyDescent="0.35">
      <c r="A282" s="17" t="s">
        <v>195</v>
      </c>
      <c r="B282" s="17" t="s">
        <v>912</v>
      </c>
      <c r="C282" s="17" t="s">
        <v>872</v>
      </c>
      <c r="D282" s="17">
        <v>3</v>
      </c>
      <c r="E282" s="17">
        <v>170</v>
      </c>
      <c r="F282" s="17">
        <v>1581</v>
      </c>
      <c r="G282" s="26">
        <f t="shared" si="4"/>
        <v>10752.68817204301</v>
      </c>
      <c r="H282" s="17"/>
    </row>
    <row r="283" spans="1:8" x14ac:dyDescent="0.35">
      <c r="A283" s="18" t="s">
        <v>971</v>
      </c>
      <c r="B283" s="18" t="s">
        <v>972</v>
      </c>
      <c r="C283" s="18" t="s">
        <v>872</v>
      </c>
      <c r="D283" s="18">
        <v>3</v>
      </c>
      <c r="E283" s="18">
        <v>213</v>
      </c>
      <c r="F283" s="18">
        <v>1702</v>
      </c>
      <c r="G283" s="26">
        <f t="shared" si="4"/>
        <v>12514.688601645123</v>
      </c>
      <c r="H283" s="18">
        <v>4.0999999999999996</v>
      </c>
    </row>
    <row r="284" spans="1:8" x14ac:dyDescent="0.35">
      <c r="A284" s="17" t="s">
        <v>690</v>
      </c>
      <c r="B284" s="17" t="s">
        <v>1046</v>
      </c>
      <c r="C284" s="17" t="s">
        <v>872</v>
      </c>
      <c r="D284" s="17">
        <v>2</v>
      </c>
      <c r="E284" s="17">
        <v>54.42</v>
      </c>
      <c r="F284" s="17">
        <v>1225</v>
      </c>
      <c r="G284" s="26">
        <f t="shared" si="4"/>
        <v>4442.4489795918371</v>
      </c>
      <c r="H284" s="17"/>
    </row>
    <row r="285" spans="1:8" x14ac:dyDescent="0.35">
      <c r="A285" s="18" t="s">
        <v>1009</v>
      </c>
      <c r="B285" s="18" t="s">
        <v>914</v>
      </c>
      <c r="C285" s="18" t="s">
        <v>872</v>
      </c>
      <c r="D285" s="18">
        <v>3</v>
      </c>
      <c r="E285" s="18">
        <v>57.6</v>
      </c>
      <c r="F285" s="18">
        <v>1200</v>
      </c>
      <c r="G285" s="26">
        <f t="shared" si="4"/>
        <v>4800</v>
      </c>
      <c r="H285" s="18">
        <v>4.3</v>
      </c>
    </row>
    <row r="286" spans="1:8" x14ac:dyDescent="0.35">
      <c r="A286" s="17" t="s">
        <v>938</v>
      </c>
      <c r="B286" s="17" t="s">
        <v>1047</v>
      </c>
      <c r="C286" s="17" t="s">
        <v>872</v>
      </c>
      <c r="D286" s="17">
        <v>3</v>
      </c>
      <c r="E286" s="17">
        <v>275</v>
      </c>
      <c r="F286" s="17">
        <v>2200</v>
      </c>
      <c r="G286" s="26">
        <f t="shared" si="4"/>
        <v>12500</v>
      </c>
      <c r="H286" s="17"/>
    </row>
    <row r="287" spans="1:8" x14ac:dyDescent="0.35">
      <c r="A287" s="18" t="s">
        <v>938</v>
      </c>
      <c r="B287" s="18" t="s">
        <v>1047</v>
      </c>
      <c r="C287" s="18" t="s">
        <v>872</v>
      </c>
      <c r="D287" s="18">
        <v>3</v>
      </c>
      <c r="E287" s="18">
        <v>187</v>
      </c>
      <c r="F287" s="18">
        <v>1700</v>
      </c>
      <c r="G287" s="26">
        <f t="shared" si="4"/>
        <v>11000</v>
      </c>
      <c r="H287" s="18"/>
    </row>
    <row r="288" spans="1:8" x14ac:dyDescent="0.35">
      <c r="A288" s="17" t="s">
        <v>1048</v>
      </c>
      <c r="B288" s="17" t="s">
        <v>895</v>
      </c>
      <c r="C288" s="17" t="s">
        <v>872</v>
      </c>
      <c r="D288" s="17">
        <v>2</v>
      </c>
      <c r="E288" s="17">
        <v>109</v>
      </c>
      <c r="F288" s="17">
        <v>997</v>
      </c>
      <c r="G288" s="26">
        <f t="shared" si="4"/>
        <v>10932.798395185557</v>
      </c>
      <c r="H288" s="17"/>
    </row>
    <row r="289" spans="1:8" x14ac:dyDescent="0.35">
      <c r="A289" s="18" t="s">
        <v>1049</v>
      </c>
      <c r="B289" s="18" t="s">
        <v>902</v>
      </c>
      <c r="C289" s="18" t="s">
        <v>872</v>
      </c>
      <c r="D289" s="18">
        <v>3</v>
      </c>
      <c r="E289" s="18">
        <v>119</v>
      </c>
      <c r="F289" s="18">
        <v>1580</v>
      </c>
      <c r="G289" s="26">
        <f t="shared" si="4"/>
        <v>7531.6455696202529</v>
      </c>
      <c r="H289" s="18"/>
    </row>
    <row r="290" spans="1:8" x14ac:dyDescent="0.35">
      <c r="A290" s="17" t="s">
        <v>81</v>
      </c>
      <c r="B290" s="17" t="s">
        <v>881</v>
      </c>
      <c r="C290" s="17" t="s">
        <v>872</v>
      </c>
      <c r="D290" s="17">
        <v>2</v>
      </c>
      <c r="E290" s="17">
        <v>128</v>
      </c>
      <c r="F290" s="17">
        <v>1170</v>
      </c>
      <c r="G290" s="26">
        <f t="shared" si="4"/>
        <v>10940.17094017094</v>
      </c>
      <c r="H290" s="17"/>
    </row>
    <row r="291" spans="1:8" x14ac:dyDescent="0.35">
      <c r="A291" s="18" t="s">
        <v>1050</v>
      </c>
      <c r="B291" s="18" t="s">
        <v>1051</v>
      </c>
      <c r="C291" s="18" t="s">
        <v>872</v>
      </c>
      <c r="D291" s="18">
        <v>3</v>
      </c>
      <c r="E291" s="18">
        <v>117</v>
      </c>
      <c r="F291" s="18">
        <v>1347</v>
      </c>
      <c r="G291" s="26">
        <f t="shared" si="4"/>
        <v>8685.9688195991093</v>
      </c>
      <c r="H291" s="18"/>
    </row>
    <row r="292" spans="1:8" x14ac:dyDescent="0.35">
      <c r="A292" s="17" t="s">
        <v>938</v>
      </c>
      <c r="B292" s="17" t="s">
        <v>20</v>
      </c>
      <c r="C292" s="17" t="s">
        <v>872</v>
      </c>
      <c r="D292" s="17">
        <v>3</v>
      </c>
      <c r="E292" s="17">
        <v>360</v>
      </c>
      <c r="F292" s="17">
        <v>1800</v>
      </c>
      <c r="G292" s="26">
        <f t="shared" si="4"/>
        <v>20000</v>
      </c>
      <c r="H292" s="17"/>
    </row>
    <row r="293" spans="1:8" x14ac:dyDescent="0.35">
      <c r="A293" s="18" t="s">
        <v>900</v>
      </c>
      <c r="B293" s="18" t="s">
        <v>901</v>
      </c>
      <c r="C293" s="18" t="s">
        <v>872</v>
      </c>
      <c r="D293" s="18">
        <v>3</v>
      </c>
      <c r="E293" s="18">
        <v>126</v>
      </c>
      <c r="F293" s="18">
        <v>1277</v>
      </c>
      <c r="G293" s="26">
        <f t="shared" si="4"/>
        <v>9866.8754894283484</v>
      </c>
      <c r="H293" s="18">
        <v>4.0999999999999996</v>
      </c>
    </row>
    <row r="294" spans="1:8" x14ac:dyDescent="0.35">
      <c r="A294" s="17" t="s">
        <v>1052</v>
      </c>
      <c r="B294" s="17" t="s">
        <v>990</v>
      </c>
      <c r="C294" s="17" t="s">
        <v>872</v>
      </c>
      <c r="D294" s="17">
        <v>2</v>
      </c>
      <c r="E294" s="17">
        <v>98</v>
      </c>
      <c r="F294" s="17">
        <v>1075</v>
      </c>
      <c r="G294" s="26">
        <f t="shared" si="4"/>
        <v>9116.2790697674427</v>
      </c>
      <c r="H294" s="17">
        <v>4</v>
      </c>
    </row>
    <row r="295" spans="1:8" x14ac:dyDescent="0.35">
      <c r="A295" s="18" t="s">
        <v>416</v>
      </c>
      <c r="B295" s="18" t="s">
        <v>993</v>
      </c>
      <c r="C295" s="18" t="s">
        <v>872</v>
      </c>
      <c r="D295" s="18">
        <v>2</v>
      </c>
      <c r="E295" s="18">
        <v>52.71</v>
      </c>
      <c r="F295" s="18">
        <v>1185</v>
      </c>
      <c r="G295" s="26">
        <f t="shared" si="4"/>
        <v>4448.1012658227846</v>
      </c>
      <c r="H295" s="18"/>
    </row>
    <row r="296" spans="1:8" x14ac:dyDescent="0.35">
      <c r="A296" s="17" t="s">
        <v>1009</v>
      </c>
      <c r="B296" s="17" t="s">
        <v>914</v>
      </c>
      <c r="C296" s="17" t="s">
        <v>872</v>
      </c>
      <c r="D296" s="17">
        <v>2</v>
      </c>
      <c r="E296" s="17">
        <v>48.7</v>
      </c>
      <c r="F296" s="17">
        <v>900</v>
      </c>
      <c r="G296" s="26">
        <f t="shared" si="4"/>
        <v>5411.1111111111113</v>
      </c>
      <c r="H296" s="17">
        <v>4.3</v>
      </c>
    </row>
    <row r="297" spans="1:8" x14ac:dyDescent="0.35">
      <c r="A297" s="18" t="s">
        <v>938</v>
      </c>
      <c r="B297" s="18" t="s">
        <v>1053</v>
      </c>
      <c r="C297" s="18" t="s">
        <v>872</v>
      </c>
      <c r="D297" s="18">
        <v>3</v>
      </c>
      <c r="E297" s="18">
        <v>200</v>
      </c>
      <c r="F297" s="18">
        <v>1910</v>
      </c>
      <c r="G297" s="26">
        <f t="shared" si="4"/>
        <v>10471.204188481675</v>
      </c>
      <c r="H297" s="18"/>
    </row>
    <row r="298" spans="1:8" x14ac:dyDescent="0.35">
      <c r="A298" s="17" t="s">
        <v>216</v>
      </c>
      <c r="B298" s="17" t="s">
        <v>920</v>
      </c>
      <c r="C298" s="17" t="s">
        <v>872</v>
      </c>
      <c r="D298" s="17">
        <v>2</v>
      </c>
      <c r="E298" s="17">
        <v>97</v>
      </c>
      <c r="F298" s="17">
        <v>934</v>
      </c>
      <c r="G298" s="26">
        <f t="shared" si="4"/>
        <v>10385.438972162741</v>
      </c>
      <c r="H298" s="17"/>
    </row>
    <row r="299" spans="1:8" x14ac:dyDescent="0.35">
      <c r="A299" s="18" t="s">
        <v>1054</v>
      </c>
      <c r="B299" s="18" t="s">
        <v>1055</v>
      </c>
      <c r="C299" s="18" t="s">
        <v>872</v>
      </c>
      <c r="D299" s="18">
        <v>3</v>
      </c>
      <c r="E299" s="18">
        <v>330</v>
      </c>
      <c r="F299" s="18">
        <v>2050</v>
      </c>
      <c r="G299" s="26">
        <f t="shared" si="4"/>
        <v>16097.560975609756</v>
      </c>
      <c r="H299" s="18">
        <v>4.4000000000000004</v>
      </c>
    </row>
    <row r="300" spans="1:8" x14ac:dyDescent="0.35">
      <c r="A300" s="17" t="s">
        <v>900</v>
      </c>
      <c r="B300" s="17" t="s">
        <v>901</v>
      </c>
      <c r="C300" s="17" t="s">
        <v>872</v>
      </c>
      <c r="D300" s="17">
        <v>3</v>
      </c>
      <c r="E300" s="17">
        <v>149</v>
      </c>
      <c r="F300" s="17">
        <v>1431</v>
      </c>
      <c r="G300" s="26">
        <f t="shared" si="4"/>
        <v>10412.299091544375</v>
      </c>
      <c r="H300" s="17">
        <v>4.0999999999999996</v>
      </c>
    </row>
    <row r="301" spans="1:8" x14ac:dyDescent="0.35">
      <c r="A301" s="18" t="s">
        <v>718</v>
      </c>
      <c r="B301" s="18" t="s">
        <v>1056</v>
      </c>
      <c r="C301" s="18" t="s">
        <v>872</v>
      </c>
      <c r="D301" s="18">
        <v>2</v>
      </c>
      <c r="E301" s="18">
        <v>75</v>
      </c>
      <c r="F301" s="18">
        <v>1075</v>
      </c>
      <c r="G301" s="26">
        <f t="shared" si="4"/>
        <v>6976.7441860465115</v>
      </c>
      <c r="H301" s="18"/>
    </row>
    <row r="302" spans="1:8" x14ac:dyDescent="0.35">
      <c r="A302" s="17" t="s">
        <v>1057</v>
      </c>
      <c r="B302" s="17" t="s">
        <v>11</v>
      </c>
      <c r="C302" s="17" t="s">
        <v>872</v>
      </c>
      <c r="D302" s="17">
        <v>3</v>
      </c>
      <c r="E302" s="17">
        <v>320</v>
      </c>
      <c r="F302" s="17">
        <v>1775</v>
      </c>
      <c r="G302" s="26">
        <f t="shared" si="4"/>
        <v>18028.169014084506</v>
      </c>
      <c r="H302" s="17">
        <v>3.9</v>
      </c>
    </row>
    <row r="303" spans="1:8" ht="25" x14ac:dyDescent="0.35">
      <c r="A303" s="18" t="s">
        <v>195</v>
      </c>
      <c r="B303" s="18" t="s">
        <v>912</v>
      </c>
      <c r="C303" s="18" t="s">
        <v>872</v>
      </c>
      <c r="D303" s="18">
        <v>2</v>
      </c>
      <c r="E303" s="18">
        <v>88</v>
      </c>
      <c r="F303" s="18">
        <v>720</v>
      </c>
      <c r="G303" s="26">
        <f t="shared" si="4"/>
        <v>12222.222222222223</v>
      </c>
      <c r="H303" s="18"/>
    </row>
    <row r="304" spans="1:8" x14ac:dyDescent="0.35">
      <c r="A304" s="17" t="s">
        <v>1058</v>
      </c>
      <c r="B304" s="17" t="s">
        <v>907</v>
      </c>
      <c r="C304" s="17" t="s">
        <v>872</v>
      </c>
      <c r="D304" s="17">
        <v>2</v>
      </c>
      <c r="E304" s="17">
        <v>35</v>
      </c>
      <c r="F304" s="17">
        <v>900</v>
      </c>
      <c r="G304" s="26">
        <f t="shared" si="4"/>
        <v>3888.8888888888887</v>
      </c>
      <c r="H304" s="17">
        <v>3.3</v>
      </c>
    </row>
    <row r="305" spans="1:8" x14ac:dyDescent="0.35">
      <c r="A305" s="18" t="s">
        <v>1059</v>
      </c>
      <c r="B305" s="18" t="s">
        <v>990</v>
      </c>
      <c r="C305" s="18" t="s">
        <v>872</v>
      </c>
      <c r="D305" s="18">
        <v>1</v>
      </c>
      <c r="E305" s="18">
        <v>31</v>
      </c>
      <c r="F305" s="18">
        <v>660</v>
      </c>
      <c r="G305" s="26">
        <f t="shared" si="4"/>
        <v>4696.969696969697</v>
      </c>
      <c r="H305" s="18">
        <v>3.5</v>
      </c>
    </row>
    <row r="306" spans="1:8" x14ac:dyDescent="0.35">
      <c r="A306" s="17" t="s">
        <v>1009</v>
      </c>
      <c r="B306" s="17" t="s">
        <v>914</v>
      </c>
      <c r="C306" s="17" t="s">
        <v>872</v>
      </c>
      <c r="D306" s="17">
        <v>2</v>
      </c>
      <c r="E306" s="17">
        <v>46</v>
      </c>
      <c r="F306" s="17">
        <v>883</v>
      </c>
      <c r="G306" s="26">
        <f t="shared" si="4"/>
        <v>5209.5130237825597</v>
      </c>
      <c r="H306" s="17">
        <v>4.3</v>
      </c>
    </row>
    <row r="307" spans="1:8" x14ac:dyDescent="0.35">
      <c r="A307" s="18" t="s">
        <v>729</v>
      </c>
      <c r="B307" s="18" t="s">
        <v>1060</v>
      </c>
      <c r="C307" s="18" t="s">
        <v>872</v>
      </c>
      <c r="D307" s="18">
        <v>2</v>
      </c>
      <c r="E307" s="18">
        <v>100</v>
      </c>
      <c r="F307" s="18">
        <v>1025</v>
      </c>
      <c r="G307" s="26">
        <f t="shared" si="4"/>
        <v>9756.0975609756097</v>
      </c>
      <c r="H307" s="18"/>
    </row>
    <row r="308" spans="1:8" x14ac:dyDescent="0.35">
      <c r="A308" s="17" t="s">
        <v>1009</v>
      </c>
      <c r="B308" s="17" t="s">
        <v>914</v>
      </c>
      <c r="C308" s="17" t="s">
        <v>872</v>
      </c>
      <c r="D308" s="17">
        <v>3</v>
      </c>
      <c r="E308" s="17">
        <v>56</v>
      </c>
      <c r="F308" s="17">
        <v>1082</v>
      </c>
      <c r="G308" s="26">
        <f t="shared" si="4"/>
        <v>5175.6007393715345</v>
      </c>
      <c r="H308" s="17">
        <v>4.3</v>
      </c>
    </row>
    <row r="309" spans="1:8" x14ac:dyDescent="0.35">
      <c r="A309" s="18" t="s">
        <v>1009</v>
      </c>
      <c r="B309" s="18" t="s">
        <v>914</v>
      </c>
      <c r="C309" s="18" t="s">
        <v>872</v>
      </c>
      <c r="D309" s="18">
        <v>2</v>
      </c>
      <c r="E309" s="18">
        <v>47</v>
      </c>
      <c r="F309" s="18">
        <v>883</v>
      </c>
      <c r="G309" s="26">
        <f t="shared" si="4"/>
        <v>5322.7633069082676</v>
      </c>
      <c r="H309" s="18">
        <v>4.3</v>
      </c>
    </row>
    <row r="310" spans="1:8" ht="25" x14ac:dyDescent="0.35">
      <c r="A310" s="17" t="s">
        <v>948</v>
      </c>
      <c r="B310" s="17" t="s">
        <v>883</v>
      </c>
      <c r="C310" s="17" t="s">
        <v>872</v>
      </c>
      <c r="D310" s="17">
        <v>3</v>
      </c>
      <c r="E310" s="17">
        <v>159</v>
      </c>
      <c r="F310" s="17">
        <v>1315</v>
      </c>
      <c r="G310" s="26">
        <f t="shared" si="4"/>
        <v>12091.254752851712</v>
      </c>
      <c r="H310" s="17">
        <v>4.4000000000000004</v>
      </c>
    </row>
    <row r="311" spans="1:8" ht="25" x14ac:dyDescent="0.35">
      <c r="A311" s="18" t="s">
        <v>195</v>
      </c>
      <c r="B311" s="18" t="s">
        <v>912</v>
      </c>
      <c r="C311" s="18" t="s">
        <v>872</v>
      </c>
      <c r="D311" s="18">
        <v>3</v>
      </c>
      <c r="E311" s="18">
        <v>160</v>
      </c>
      <c r="F311" s="18">
        <v>1543</v>
      </c>
      <c r="G311" s="26">
        <f t="shared" si="4"/>
        <v>10369.410239792613</v>
      </c>
      <c r="H311" s="18"/>
    </row>
    <row r="312" spans="1:8" ht="25" x14ac:dyDescent="0.35">
      <c r="A312" s="17" t="s">
        <v>195</v>
      </c>
      <c r="B312" s="17" t="s">
        <v>912</v>
      </c>
      <c r="C312" s="17" t="s">
        <v>872</v>
      </c>
      <c r="D312" s="17">
        <v>2</v>
      </c>
      <c r="E312" s="17">
        <v>98</v>
      </c>
      <c r="F312" s="17">
        <v>988</v>
      </c>
      <c r="G312" s="26">
        <f t="shared" si="4"/>
        <v>9919.0283400809712</v>
      </c>
      <c r="H312" s="17"/>
    </row>
    <row r="313" spans="1:8" ht="25" x14ac:dyDescent="0.35">
      <c r="A313" s="18" t="s">
        <v>195</v>
      </c>
      <c r="B313" s="18" t="s">
        <v>912</v>
      </c>
      <c r="C313" s="18" t="s">
        <v>872</v>
      </c>
      <c r="D313" s="18">
        <v>1</v>
      </c>
      <c r="E313" s="18">
        <v>60</v>
      </c>
      <c r="F313" s="18">
        <v>584</v>
      </c>
      <c r="G313" s="26">
        <f t="shared" si="4"/>
        <v>10273.972602739726</v>
      </c>
      <c r="H313" s="18"/>
    </row>
    <row r="314" spans="1:8" x14ac:dyDescent="0.35">
      <c r="A314" s="17" t="s">
        <v>1061</v>
      </c>
      <c r="B314" s="17" t="s">
        <v>1062</v>
      </c>
      <c r="C314" s="17" t="s">
        <v>872</v>
      </c>
      <c r="D314" s="17">
        <v>3</v>
      </c>
      <c r="E314" s="17">
        <v>99</v>
      </c>
      <c r="F314" s="17">
        <v>1500</v>
      </c>
      <c r="G314" s="26">
        <f t="shared" si="4"/>
        <v>6600</v>
      </c>
      <c r="H314" s="17"/>
    </row>
    <row r="315" spans="1:8" x14ac:dyDescent="0.35">
      <c r="A315" s="18" t="s">
        <v>1061</v>
      </c>
      <c r="B315" s="18" t="s">
        <v>1062</v>
      </c>
      <c r="C315" s="18" t="s">
        <v>872</v>
      </c>
      <c r="D315" s="18">
        <v>3</v>
      </c>
      <c r="E315" s="18">
        <v>90</v>
      </c>
      <c r="F315" s="18">
        <v>1500</v>
      </c>
      <c r="G315" s="26">
        <f t="shared" si="4"/>
        <v>6000</v>
      </c>
      <c r="H315" s="18"/>
    </row>
    <row r="316" spans="1:8" ht="25" x14ac:dyDescent="0.35">
      <c r="A316" s="17" t="s">
        <v>1063</v>
      </c>
      <c r="B316" s="17" t="s">
        <v>871</v>
      </c>
      <c r="C316" s="17" t="s">
        <v>872</v>
      </c>
      <c r="D316" s="17">
        <v>3</v>
      </c>
      <c r="E316" s="17">
        <v>175</v>
      </c>
      <c r="F316" s="17">
        <v>1387</v>
      </c>
      <c r="G316" s="26">
        <f t="shared" si="4"/>
        <v>12617.159336697909</v>
      </c>
      <c r="H316" s="17">
        <v>3.6</v>
      </c>
    </row>
    <row r="317" spans="1:8" x14ac:dyDescent="0.35">
      <c r="A317" s="18" t="s">
        <v>1064</v>
      </c>
      <c r="B317" s="18" t="s">
        <v>1065</v>
      </c>
      <c r="C317" s="18" t="s">
        <v>875</v>
      </c>
      <c r="D317" s="18">
        <v>4</v>
      </c>
      <c r="E317" s="18">
        <v>224</v>
      </c>
      <c r="F317" s="18">
        <v>700</v>
      </c>
      <c r="G317" s="26">
        <f t="shared" si="4"/>
        <v>32000</v>
      </c>
      <c r="H317" s="18"/>
    </row>
    <row r="318" spans="1:8" x14ac:dyDescent="0.35">
      <c r="A318" s="17" t="s">
        <v>1066</v>
      </c>
      <c r="B318" s="17" t="s">
        <v>1067</v>
      </c>
      <c r="C318" s="17" t="s">
        <v>875</v>
      </c>
      <c r="D318" s="17">
        <v>3</v>
      </c>
      <c r="E318" s="17">
        <v>135</v>
      </c>
      <c r="F318" s="17">
        <v>1500</v>
      </c>
      <c r="G318" s="26">
        <f t="shared" si="4"/>
        <v>9000</v>
      </c>
      <c r="H318" s="17"/>
    </row>
    <row r="319" spans="1:8" x14ac:dyDescent="0.35">
      <c r="A319" s="18" t="s">
        <v>1068</v>
      </c>
      <c r="B319" s="18" t="s">
        <v>1069</v>
      </c>
      <c r="C319" s="18" t="s">
        <v>872</v>
      </c>
      <c r="D319" s="18">
        <v>2</v>
      </c>
      <c r="E319" s="18">
        <v>225</v>
      </c>
      <c r="F319" s="18">
        <v>1200</v>
      </c>
      <c r="G319" s="26">
        <f t="shared" si="4"/>
        <v>18750</v>
      </c>
      <c r="H319" s="18">
        <v>4.2</v>
      </c>
    </row>
    <row r="320" spans="1:8" x14ac:dyDescent="0.35">
      <c r="A320" s="17" t="s">
        <v>1025</v>
      </c>
      <c r="B320" s="17" t="s">
        <v>910</v>
      </c>
      <c r="C320" s="17" t="s">
        <v>872</v>
      </c>
      <c r="D320" s="17">
        <v>3</v>
      </c>
      <c r="E320" s="17">
        <v>136</v>
      </c>
      <c r="F320" s="17">
        <v>1400</v>
      </c>
      <c r="G320" s="26">
        <f t="shared" si="4"/>
        <v>9714.2857142857138</v>
      </c>
      <c r="H320" s="17">
        <v>4.0999999999999996</v>
      </c>
    </row>
    <row r="321" spans="1:8" x14ac:dyDescent="0.35">
      <c r="A321" s="18" t="s">
        <v>1018</v>
      </c>
      <c r="B321" s="18" t="s">
        <v>1070</v>
      </c>
      <c r="C321" s="18" t="s">
        <v>872</v>
      </c>
      <c r="D321" s="18">
        <v>2</v>
      </c>
      <c r="E321" s="18">
        <v>65</v>
      </c>
      <c r="F321" s="18">
        <v>1060</v>
      </c>
      <c r="G321" s="26">
        <f t="shared" si="4"/>
        <v>6132.0754716981128</v>
      </c>
      <c r="H321" s="18"/>
    </row>
    <row r="322" spans="1:8" x14ac:dyDescent="0.35">
      <c r="A322" s="17" t="s">
        <v>752</v>
      </c>
      <c r="B322" s="17" t="s">
        <v>920</v>
      </c>
      <c r="C322" s="17" t="s">
        <v>872</v>
      </c>
      <c r="D322" s="17">
        <v>3</v>
      </c>
      <c r="E322" s="17">
        <v>160</v>
      </c>
      <c r="F322" s="17">
        <v>1790</v>
      </c>
      <c r="G322" s="26">
        <f t="shared" si="4"/>
        <v>8938.5474860335198</v>
      </c>
      <c r="H322" s="17"/>
    </row>
    <row r="323" spans="1:8" x14ac:dyDescent="0.35">
      <c r="A323" s="18" t="s">
        <v>978</v>
      </c>
      <c r="B323" s="18" t="s">
        <v>979</v>
      </c>
      <c r="C323" s="18" t="s">
        <v>872</v>
      </c>
      <c r="D323" s="18">
        <v>2</v>
      </c>
      <c r="E323" s="18">
        <v>74.5</v>
      </c>
      <c r="F323" s="18">
        <v>1021</v>
      </c>
      <c r="G323" s="26">
        <f t="shared" si="4"/>
        <v>7296.7678746327128</v>
      </c>
      <c r="H323" s="18">
        <v>3.8</v>
      </c>
    </row>
    <row r="324" spans="1:8" x14ac:dyDescent="0.35">
      <c r="A324" s="17" t="s">
        <v>1071</v>
      </c>
      <c r="B324" s="17" t="s">
        <v>22</v>
      </c>
      <c r="C324" s="17" t="s">
        <v>872</v>
      </c>
      <c r="D324" s="17">
        <v>3</v>
      </c>
      <c r="E324" s="17">
        <v>82</v>
      </c>
      <c r="F324" s="17">
        <v>1450</v>
      </c>
      <c r="G324" s="26">
        <f t="shared" si="4"/>
        <v>5655.1724137931033</v>
      </c>
      <c r="H324" s="17">
        <v>3.8</v>
      </c>
    </row>
    <row r="325" spans="1:8" x14ac:dyDescent="0.35">
      <c r="A325" s="18" t="s">
        <v>1007</v>
      </c>
      <c r="B325" s="18" t="s">
        <v>1008</v>
      </c>
      <c r="C325" s="18" t="s">
        <v>872</v>
      </c>
      <c r="D325" s="18">
        <v>3</v>
      </c>
      <c r="E325" s="18">
        <v>198</v>
      </c>
      <c r="F325" s="18">
        <v>1745</v>
      </c>
      <c r="G325" s="26">
        <f t="shared" ref="G325:G388" si="5" xml:space="preserve"> (E325 * 100000) / F325</f>
        <v>11346.704871060172</v>
      </c>
      <c r="H325" s="18">
        <v>3.8</v>
      </c>
    </row>
    <row r="326" spans="1:8" x14ac:dyDescent="0.35">
      <c r="A326" s="17" t="s">
        <v>938</v>
      </c>
      <c r="B326" s="17" t="s">
        <v>939</v>
      </c>
      <c r="C326" s="17" t="s">
        <v>872</v>
      </c>
      <c r="D326" s="17">
        <v>3</v>
      </c>
      <c r="E326" s="17">
        <v>220</v>
      </c>
      <c r="F326" s="17">
        <v>1800</v>
      </c>
      <c r="G326" s="26">
        <f t="shared" si="5"/>
        <v>12222.222222222223</v>
      </c>
      <c r="H326" s="17"/>
    </row>
    <row r="327" spans="1:8" x14ac:dyDescent="0.35">
      <c r="A327" s="18" t="s">
        <v>1072</v>
      </c>
      <c r="B327" s="18" t="s">
        <v>1073</v>
      </c>
      <c r="C327" s="18" t="s">
        <v>872</v>
      </c>
      <c r="D327" s="18">
        <v>3</v>
      </c>
      <c r="E327" s="18">
        <v>165</v>
      </c>
      <c r="F327" s="18">
        <v>1570</v>
      </c>
      <c r="G327" s="26">
        <f t="shared" si="5"/>
        <v>10509.554140127388</v>
      </c>
      <c r="H327" s="18">
        <v>4.2</v>
      </c>
    </row>
    <row r="328" spans="1:8" x14ac:dyDescent="0.35">
      <c r="A328" s="17" t="s">
        <v>938</v>
      </c>
      <c r="B328" s="17" t="s">
        <v>1053</v>
      </c>
      <c r="C328" s="17" t="s">
        <v>872</v>
      </c>
      <c r="D328" s="17">
        <v>3</v>
      </c>
      <c r="E328" s="17">
        <v>150</v>
      </c>
      <c r="F328" s="17">
        <v>1325</v>
      </c>
      <c r="G328" s="26">
        <f t="shared" si="5"/>
        <v>11320.754716981131</v>
      </c>
      <c r="H328" s="17"/>
    </row>
    <row r="329" spans="1:8" x14ac:dyDescent="0.35">
      <c r="A329" s="18" t="s">
        <v>1074</v>
      </c>
      <c r="B329" s="18" t="s">
        <v>975</v>
      </c>
      <c r="C329" s="18" t="s">
        <v>872</v>
      </c>
      <c r="D329" s="18">
        <v>3</v>
      </c>
      <c r="E329" s="18">
        <v>102</v>
      </c>
      <c r="F329" s="18">
        <v>1210</v>
      </c>
      <c r="G329" s="26">
        <f t="shared" si="5"/>
        <v>8429.7520661157032</v>
      </c>
      <c r="H329" s="18">
        <v>3.9</v>
      </c>
    </row>
    <row r="330" spans="1:8" x14ac:dyDescent="0.35">
      <c r="A330" s="17" t="s">
        <v>634</v>
      </c>
      <c r="B330" s="17" t="s">
        <v>1029</v>
      </c>
      <c r="C330" s="17" t="s">
        <v>872</v>
      </c>
      <c r="D330" s="17">
        <v>2</v>
      </c>
      <c r="E330" s="17">
        <v>89</v>
      </c>
      <c r="F330" s="17">
        <v>1175</v>
      </c>
      <c r="G330" s="26">
        <f t="shared" si="5"/>
        <v>7574.4680851063831</v>
      </c>
      <c r="H330" s="17"/>
    </row>
    <row r="331" spans="1:8" x14ac:dyDescent="0.35">
      <c r="A331" s="18" t="s">
        <v>900</v>
      </c>
      <c r="B331" s="18" t="s">
        <v>901</v>
      </c>
      <c r="C331" s="18" t="s">
        <v>872</v>
      </c>
      <c r="D331" s="18">
        <v>1</v>
      </c>
      <c r="E331" s="18">
        <v>65</v>
      </c>
      <c r="F331" s="18">
        <v>735</v>
      </c>
      <c r="G331" s="26">
        <f t="shared" si="5"/>
        <v>8843.5374149659856</v>
      </c>
      <c r="H331" s="18">
        <v>4.0999999999999996</v>
      </c>
    </row>
    <row r="332" spans="1:8" x14ac:dyDescent="0.35">
      <c r="A332" s="17" t="s">
        <v>1075</v>
      </c>
      <c r="B332" s="17" t="s">
        <v>975</v>
      </c>
      <c r="C332" s="17" t="s">
        <v>872</v>
      </c>
      <c r="D332" s="17">
        <v>2</v>
      </c>
      <c r="E332" s="17">
        <v>64</v>
      </c>
      <c r="F332" s="17">
        <v>1100</v>
      </c>
      <c r="G332" s="26">
        <f t="shared" si="5"/>
        <v>5818.181818181818</v>
      </c>
      <c r="H332" s="17"/>
    </row>
    <row r="333" spans="1:8" x14ac:dyDescent="0.35">
      <c r="A333" s="18" t="s">
        <v>1076</v>
      </c>
      <c r="B333" s="18" t="s">
        <v>1077</v>
      </c>
      <c r="C333" s="18" t="s">
        <v>872</v>
      </c>
      <c r="D333" s="18">
        <v>2</v>
      </c>
      <c r="E333" s="18">
        <v>180</v>
      </c>
      <c r="F333" s="18">
        <v>1294</v>
      </c>
      <c r="G333" s="26">
        <f t="shared" si="5"/>
        <v>13910.355486862441</v>
      </c>
      <c r="H333" s="18">
        <v>4</v>
      </c>
    </row>
    <row r="334" spans="1:8" x14ac:dyDescent="0.35">
      <c r="A334" s="17" t="s">
        <v>1078</v>
      </c>
      <c r="B334" s="17" t="s">
        <v>1079</v>
      </c>
      <c r="C334" s="17" t="s">
        <v>875</v>
      </c>
      <c r="D334" s="17">
        <v>3</v>
      </c>
      <c r="E334" s="17">
        <v>360</v>
      </c>
      <c r="F334" s="17">
        <v>1200</v>
      </c>
      <c r="G334" s="26">
        <f t="shared" si="5"/>
        <v>30000</v>
      </c>
      <c r="H334" s="17"/>
    </row>
    <row r="335" spans="1:8" x14ac:dyDescent="0.35">
      <c r="A335" s="18" t="s">
        <v>1004</v>
      </c>
      <c r="B335" s="18" t="s">
        <v>876</v>
      </c>
      <c r="C335" s="18" t="s">
        <v>872</v>
      </c>
      <c r="D335" s="18">
        <v>2</v>
      </c>
      <c r="E335" s="18">
        <v>155</v>
      </c>
      <c r="F335" s="18">
        <v>1097</v>
      </c>
      <c r="G335" s="26">
        <f t="shared" si="5"/>
        <v>14129.443938012762</v>
      </c>
      <c r="H335" s="18">
        <v>3.8</v>
      </c>
    </row>
    <row r="336" spans="1:8" x14ac:dyDescent="0.35">
      <c r="A336" s="17" t="s">
        <v>1048</v>
      </c>
      <c r="B336" s="17" t="s">
        <v>895</v>
      </c>
      <c r="C336" s="17" t="s">
        <v>872</v>
      </c>
      <c r="D336" s="17">
        <v>1</v>
      </c>
      <c r="E336" s="17">
        <v>69</v>
      </c>
      <c r="F336" s="17">
        <v>442</v>
      </c>
      <c r="G336" s="26">
        <f t="shared" si="5"/>
        <v>15610.859728506788</v>
      </c>
      <c r="H336" s="17"/>
    </row>
    <row r="337" spans="1:8" x14ac:dyDescent="0.35">
      <c r="A337" s="18" t="s">
        <v>98</v>
      </c>
      <c r="B337" s="18" t="s">
        <v>871</v>
      </c>
      <c r="C337" s="18" t="s">
        <v>872</v>
      </c>
      <c r="D337" s="18">
        <v>3</v>
      </c>
      <c r="E337" s="18">
        <v>195</v>
      </c>
      <c r="F337" s="18">
        <v>1536</v>
      </c>
      <c r="G337" s="26">
        <f t="shared" si="5"/>
        <v>12695.3125</v>
      </c>
      <c r="H337" s="18"/>
    </row>
    <row r="338" spans="1:8" x14ac:dyDescent="0.35">
      <c r="A338" s="17" t="s">
        <v>1080</v>
      </c>
      <c r="B338" s="17" t="s">
        <v>895</v>
      </c>
      <c r="C338" s="17" t="s">
        <v>872</v>
      </c>
      <c r="D338" s="17">
        <v>2</v>
      </c>
      <c r="E338" s="17">
        <v>49</v>
      </c>
      <c r="F338" s="17">
        <v>1045</v>
      </c>
      <c r="G338" s="26">
        <f t="shared" si="5"/>
        <v>4688.9952153110044</v>
      </c>
      <c r="H338" s="17"/>
    </row>
    <row r="339" spans="1:8" x14ac:dyDescent="0.35">
      <c r="A339" s="18" t="s">
        <v>216</v>
      </c>
      <c r="B339" s="18" t="s">
        <v>920</v>
      </c>
      <c r="C339" s="18" t="s">
        <v>872</v>
      </c>
      <c r="D339" s="18">
        <v>3</v>
      </c>
      <c r="E339" s="18">
        <v>187</v>
      </c>
      <c r="F339" s="18">
        <v>1917</v>
      </c>
      <c r="G339" s="26">
        <f t="shared" si="5"/>
        <v>9754.8252477829938</v>
      </c>
      <c r="H339" s="18"/>
    </row>
    <row r="340" spans="1:8" x14ac:dyDescent="0.35">
      <c r="A340" s="17" t="s">
        <v>85</v>
      </c>
      <c r="B340" s="17" t="s">
        <v>882</v>
      </c>
      <c r="C340" s="17" t="s">
        <v>872</v>
      </c>
      <c r="D340" s="17">
        <v>3</v>
      </c>
      <c r="E340" s="17">
        <v>163</v>
      </c>
      <c r="F340" s="17">
        <v>1595</v>
      </c>
      <c r="G340" s="26">
        <f t="shared" si="5"/>
        <v>10219.435736677116</v>
      </c>
      <c r="H340" s="17"/>
    </row>
    <row r="341" spans="1:8" x14ac:dyDescent="0.35">
      <c r="A341" s="18" t="s">
        <v>784</v>
      </c>
      <c r="B341" s="18" t="s">
        <v>1081</v>
      </c>
      <c r="C341" s="18" t="s">
        <v>872</v>
      </c>
      <c r="D341" s="18">
        <v>3</v>
      </c>
      <c r="E341" s="18">
        <v>250</v>
      </c>
      <c r="F341" s="18">
        <v>1533</v>
      </c>
      <c r="G341" s="26">
        <f t="shared" si="5"/>
        <v>16307.893020221787</v>
      </c>
      <c r="H341" s="18"/>
    </row>
    <row r="342" spans="1:8" x14ac:dyDescent="0.35">
      <c r="A342" s="17" t="s">
        <v>1071</v>
      </c>
      <c r="B342" s="17" t="s">
        <v>22</v>
      </c>
      <c r="C342" s="17" t="s">
        <v>872</v>
      </c>
      <c r="D342" s="17">
        <v>3</v>
      </c>
      <c r="E342" s="17">
        <v>80</v>
      </c>
      <c r="F342" s="17">
        <v>1450</v>
      </c>
      <c r="G342" s="26">
        <f t="shared" si="5"/>
        <v>5517.2413793103451</v>
      </c>
      <c r="H342" s="17">
        <v>3.8</v>
      </c>
    </row>
    <row r="343" spans="1:8" x14ac:dyDescent="0.35">
      <c r="A343" s="18" t="s">
        <v>1009</v>
      </c>
      <c r="B343" s="18" t="s">
        <v>914</v>
      </c>
      <c r="C343" s="18" t="s">
        <v>872</v>
      </c>
      <c r="D343" s="18">
        <v>2</v>
      </c>
      <c r="E343" s="18">
        <v>48.9</v>
      </c>
      <c r="F343" s="18">
        <v>920</v>
      </c>
      <c r="G343" s="26">
        <f t="shared" si="5"/>
        <v>5315.217391304348</v>
      </c>
      <c r="H343" s="18">
        <v>4.3</v>
      </c>
    </row>
    <row r="344" spans="1:8" x14ac:dyDescent="0.35">
      <c r="A344" s="17" t="s">
        <v>1009</v>
      </c>
      <c r="B344" s="17" t="s">
        <v>914</v>
      </c>
      <c r="C344" s="17" t="s">
        <v>872</v>
      </c>
      <c r="D344" s="17">
        <v>3</v>
      </c>
      <c r="E344" s="17">
        <v>59.6</v>
      </c>
      <c r="F344" s="17">
        <v>1200</v>
      </c>
      <c r="G344" s="26">
        <f t="shared" si="5"/>
        <v>4966.666666666667</v>
      </c>
      <c r="H344" s="17">
        <v>4.3</v>
      </c>
    </row>
    <row r="345" spans="1:8" x14ac:dyDescent="0.35">
      <c r="A345" s="18" t="s">
        <v>1009</v>
      </c>
      <c r="B345" s="18" t="s">
        <v>914</v>
      </c>
      <c r="C345" s="18" t="s">
        <v>872</v>
      </c>
      <c r="D345" s="18">
        <v>3</v>
      </c>
      <c r="E345" s="18">
        <v>57</v>
      </c>
      <c r="F345" s="18">
        <v>1082</v>
      </c>
      <c r="G345" s="26">
        <f t="shared" si="5"/>
        <v>5268.022181146026</v>
      </c>
      <c r="H345" s="18">
        <v>4.3</v>
      </c>
    </row>
    <row r="346" spans="1:8" x14ac:dyDescent="0.35">
      <c r="A346" s="17" t="s">
        <v>1009</v>
      </c>
      <c r="B346" s="17" t="s">
        <v>914</v>
      </c>
      <c r="C346" s="17" t="s">
        <v>872</v>
      </c>
      <c r="D346" s="17">
        <v>3</v>
      </c>
      <c r="E346" s="17">
        <v>56.8</v>
      </c>
      <c r="F346" s="17">
        <v>1082</v>
      </c>
      <c r="G346" s="26">
        <f t="shared" si="5"/>
        <v>5249.5378927911279</v>
      </c>
      <c r="H346" s="17">
        <v>4.3</v>
      </c>
    </row>
    <row r="347" spans="1:8" x14ac:dyDescent="0.35">
      <c r="A347" s="18" t="s">
        <v>1009</v>
      </c>
      <c r="B347" s="18" t="s">
        <v>914</v>
      </c>
      <c r="C347" s="18" t="s">
        <v>872</v>
      </c>
      <c r="D347" s="18">
        <v>2</v>
      </c>
      <c r="E347" s="18">
        <v>47.3</v>
      </c>
      <c r="F347" s="18">
        <v>1000</v>
      </c>
      <c r="G347" s="26">
        <f t="shared" si="5"/>
        <v>4730</v>
      </c>
      <c r="H347" s="18">
        <v>4.3</v>
      </c>
    </row>
    <row r="348" spans="1:8" x14ac:dyDescent="0.35">
      <c r="A348" s="17" t="s">
        <v>1009</v>
      </c>
      <c r="B348" s="17" t="s">
        <v>914</v>
      </c>
      <c r="C348" s="17" t="s">
        <v>872</v>
      </c>
      <c r="D348" s="17">
        <v>3</v>
      </c>
      <c r="E348" s="17">
        <v>58.3</v>
      </c>
      <c r="F348" s="17">
        <v>1082</v>
      </c>
      <c r="G348" s="26">
        <f t="shared" si="5"/>
        <v>5388.1700554528652</v>
      </c>
      <c r="H348" s="17">
        <v>4.3</v>
      </c>
    </row>
    <row r="349" spans="1:8" x14ac:dyDescent="0.35">
      <c r="A349" s="18" t="s">
        <v>1009</v>
      </c>
      <c r="B349" s="18" t="s">
        <v>914</v>
      </c>
      <c r="C349" s="18" t="s">
        <v>872</v>
      </c>
      <c r="D349" s="18">
        <v>3</v>
      </c>
      <c r="E349" s="18">
        <v>56.98</v>
      </c>
      <c r="F349" s="18">
        <v>1082</v>
      </c>
      <c r="G349" s="26">
        <f t="shared" si="5"/>
        <v>5266.1737523105357</v>
      </c>
      <c r="H349" s="18">
        <v>4.3</v>
      </c>
    </row>
    <row r="350" spans="1:8" x14ac:dyDescent="0.35">
      <c r="A350" s="17" t="s">
        <v>1009</v>
      </c>
      <c r="B350" s="17" t="s">
        <v>914</v>
      </c>
      <c r="C350" s="17" t="s">
        <v>872</v>
      </c>
      <c r="D350" s="17">
        <v>3</v>
      </c>
      <c r="E350" s="17">
        <v>57.65</v>
      </c>
      <c r="F350" s="17">
        <v>1082</v>
      </c>
      <c r="G350" s="26">
        <f t="shared" si="5"/>
        <v>5328.0961182994452</v>
      </c>
      <c r="H350" s="17">
        <v>4.3</v>
      </c>
    </row>
    <row r="351" spans="1:8" x14ac:dyDescent="0.35">
      <c r="A351" s="18" t="s">
        <v>1009</v>
      </c>
      <c r="B351" s="18" t="s">
        <v>914</v>
      </c>
      <c r="C351" s="18" t="s">
        <v>872</v>
      </c>
      <c r="D351" s="18">
        <v>2</v>
      </c>
      <c r="E351" s="18">
        <v>47.9</v>
      </c>
      <c r="F351" s="18">
        <v>883</v>
      </c>
      <c r="G351" s="26">
        <f t="shared" si="5"/>
        <v>5424.6885617214039</v>
      </c>
      <c r="H351" s="18">
        <v>4.3</v>
      </c>
    </row>
    <row r="352" spans="1:8" x14ac:dyDescent="0.35">
      <c r="A352" s="17" t="s">
        <v>1009</v>
      </c>
      <c r="B352" s="17" t="s">
        <v>914</v>
      </c>
      <c r="C352" s="17" t="s">
        <v>872</v>
      </c>
      <c r="D352" s="17">
        <v>2</v>
      </c>
      <c r="E352" s="17">
        <v>48.2</v>
      </c>
      <c r="F352" s="17">
        <v>883</v>
      </c>
      <c r="G352" s="26">
        <f t="shared" si="5"/>
        <v>5458.6636466591162</v>
      </c>
      <c r="H352" s="17">
        <v>4.3</v>
      </c>
    </row>
    <row r="353" spans="1:8" x14ac:dyDescent="0.35">
      <c r="A353" s="18" t="s">
        <v>1057</v>
      </c>
      <c r="B353" s="18" t="s">
        <v>11</v>
      </c>
      <c r="C353" s="18" t="s">
        <v>872</v>
      </c>
      <c r="D353" s="18">
        <v>3</v>
      </c>
      <c r="E353" s="18">
        <v>365</v>
      </c>
      <c r="F353" s="18">
        <v>2027</v>
      </c>
      <c r="G353" s="26">
        <f t="shared" si="5"/>
        <v>18006.906758756784</v>
      </c>
      <c r="H353" s="18">
        <v>3.9</v>
      </c>
    </row>
    <row r="354" spans="1:8" x14ac:dyDescent="0.35">
      <c r="A354" s="17" t="s">
        <v>1009</v>
      </c>
      <c r="B354" s="17" t="s">
        <v>914</v>
      </c>
      <c r="C354" s="17" t="s">
        <v>872</v>
      </c>
      <c r="D354" s="17">
        <v>2</v>
      </c>
      <c r="E354" s="17">
        <v>46.8</v>
      </c>
      <c r="F354" s="17">
        <v>883</v>
      </c>
      <c r="G354" s="26">
        <f t="shared" si="5"/>
        <v>5300.113250283126</v>
      </c>
      <c r="H354" s="17">
        <v>4.3</v>
      </c>
    </row>
    <row r="355" spans="1:8" x14ac:dyDescent="0.35">
      <c r="A355" s="18" t="s">
        <v>900</v>
      </c>
      <c r="B355" s="18" t="s">
        <v>901</v>
      </c>
      <c r="C355" s="18" t="s">
        <v>872</v>
      </c>
      <c r="D355" s="18">
        <v>2</v>
      </c>
      <c r="E355" s="18">
        <v>98.1</v>
      </c>
      <c r="F355" s="18">
        <v>999</v>
      </c>
      <c r="G355" s="26">
        <f t="shared" si="5"/>
        <v>9819.8198198198206</v>
      </c>
      <c r="H355" s="18">
        <v>4.0999999999999996</v>
      </c>
    </row>
    <row r="356" spans="1:8" x14ac:dyDescent="0.35">
      <c r="A356" s="17" t="s">
        <v>1057</v>
      </c>
      <c r="B356" s="17" t="s">
        <v>11</v>
      </c>
      <c r="C356" s="17" t="s">
        <v>872</v>
      </c>
      <c r="D356" s="17">
        <v>4</v>
      </c>
      <c r="E356" s="17">
        <v>435</v>
      </c>
      <c r="F356" s="17">
        <v>2555</v>
      </c>
      <c r="G356" s="26">
        <f t="shared" si="5"/>
        <v>17025.440313111547</v>
      </c>
      <c r="H356" s="17">
        <v>3.9</v>
      </c>
    </row>
    <row r="357" spans="1:8" ht="25" x14ac:dyDescent="0.35">
      <c r="A357" s="18" t="s">
        <v>805</v>
      </c>
      <c r="B357" s="18" t="s">
        <v>1082</v>
      </c>
      <c r="C357" s="18" t="s">
        <v>872</v>
      </c>
      <c r="D357" s="18">
        <v>3</v>
      </c>
      <c r="E357" s="18">
        <v>195</v>
      </c>
      <c r="F357" s="18">
        <v>2200</v>
      </c>
      <c r="G357" s="26">
        <f t="shared" si="5"/>
        <v>8863.636363636364</v>
      </c>
      <c r="H357" s="18"/>
    </row>
    <row r="358" spans="1:8" x14ac:dyDescent="0.35">
      <c r="A358" s="17" t="s">
        <v>98</v>
      </c>
      <c r="B358" s="17" t="s">
        <v>871</v>
      </c>
      <c r="C358" s="17" t="s">
        <v>872</v>
      </c>
      <c r="D358" s="17">
        <v>2</v>
      </c>
      <c r="E358" s="17">
        <v>110</v>
      </c>
      <c r="F358" s="17">
        <v>944</v>
      </c>
      <c r="G358" s="26">
        <f t="shared" si="5"/>
        <v>11652.542372881357</v>
      </c>
      <c r="H358" s="17"/>
    </row>
    <row r="359" spans="1:8" x14ac:dyDescent="0.35">
      <c r="A359" s="18" t="s">
        <v>808</v>
      </c>
      <c r="B359" s="18" t="s">
        <v>1083</v>
      </c>
      <c r="C359" s="18" t="s">
        <v>872</v>
      </c>
      <c r="D359" s="18">
        <v>2</v>
      </c>
      <c r="E359" s="18">
        <v>55</v>
      </c>
      <c r="F359" s="18">
        <v>1000</v>
      </c>
      <c r="G359" s="26">
        <f t="shared" si="5"/>
        <v>5500</v>
      </c>
      <c r="H359" s="18"/>
    </row>
    <row r="360" spans="1:8" x14ac:dyDescent="0.35">
      <c r="A360" s="17" t="s">
        <v>1050</v>
      </c>
      <c r="B360" s="17" t="s">
        <v>1051</v>
      </c>
      <c r="C360" s="17" t="s">
        <v>872</v>
      </c>
      <c r="D360" s="17">
        <v>3</v>
      </c>
      <c r="E360" s="17">
        <v>123</v>
      </c>
      <c r="F360" s="17">
        <v>1348</v>
      </c>
      <c r="G360" s="26">
        <f t="shared" si="5"/>
        <v>9124.6290801186951</v>
      </c>
      <c r="H360" s="17"/>
    </row>
    <row r="361" spans="1:8" x14ac:dyDescent="0.35">
      <c r="A361" s="18" t="s">
        <v>812</v>
      </c>
      <c r="B361" s="18" t="s">
        <v>1084</v>
      </c>
      <c r="C361" s="18" t="s">
        <v>872</v>
      </c>
      <c r="D361" s="18">
        <v>3</v>
      </c>
      <c r="E361" s="18">
        <v>87</v>
      </c>
      <c r="F361" s="18">
        <v>1450</v>
      </c>
      <c r="G361" s="26">
        <f t="shared" si="5"/>
        <v>6000</v>
      </c>
      <c r="H361" s="18"/>
    </row>
    <row r="362" spans="1:8" x14ac:dyDescent="0.35">
      <c r="A362" s="17" t="s">
        <v>1085</v>
      </c>
      <c r="B362" s="17" t="s">
        <v>962</v>
      </c>
      <c r="C362" s="17" t="s">
        <v>872</v>
      </c>
      <c r="D362" s="17">
        <v>3</v>
      </c>
      <c r="E362" s="17">
        <v>78</v>
      </c>
      <c r="F362" s="17">
        <v>1301</v>
      </c>
      <c r="G362" s="26">
        <f t="shared" si="5"/>
        <v>5995.3881629515754</v>
      </c>
      <c r="H362" s="17"/>
    </row>
    <row r="363" spans="1:8" x14ac:dyDescent="0.35">
      <c r="A363" s="18" t="s">
        <v>1085</v>
      </c>
      <c r="B363" s="18" t="s">
        <v>976</v>
      </c>
      <c r="C363" s="18" t="s">
        <v>872</v>
      </c>
      <c r="D363" s="18">
        <v>3</v>
      </c>
      <c r="E363" s="18">
        <v>87</v>
      </c>
      <c r="F363" s="18">
        <v>1450</v>
      </c>
      <c r="G363" s="26">
        <f t="shared" si="5"/>
        <v>6000</v>
      </c>
      <c r="H363" s="18"/>
    </row>
    <row r="364" spans="1:8" x14ac:dyDescent="0.35">
      <c r="A364" s="17" t="s">
        <v>1085</v>
      </c>
      <c r="B364" s="17" t="s">
        <v>962</v>
      </c>
      <c r="C364" s="17" t="s">
        <v>872</v>
      </c>
      <c r="D364" s="17">
        <v>2</v>
      </c>
      <c r="E364" s="17">
        <v>60</v>
      </c>
      <c r="F364" s="17">
        <v>1001</v>
      </c>
      <c r="G364" s="26">
        <f t="shared" si="5"/>
        <v>5994.0059940059937</v>
      </c>
      <c r="H364" s="17"/>
    </row>
    <row r="365" spans="1:8" x14ac:dyDescent="0.35">
      <c r="A365" s="18" t="s">
        <v>1085</v>
      </c>
      <c r="B365" s="18" t="s">
        <v>1086</v>
      </c>
      <c r="C365" s="18" t="s">
        <v>872</v>
      </c>
      <c r="D365" s="18">
        <v>3</v>
      </c>
      <c r="E365" s="18">
        <v>78</v>
      </c>
      <c r="F365" s="18">
        <v>1300</v>
      </c>
      <c r="G365" s="26">
        <f t="shared" si="5"/>
        <v>6000</v>
      </c>
      <c r="H365" s="18"/>
    </row>
    <row r="366" spans="1:8" x14ac:dyDescent="0.35">
      <c r="A366" s="17" t="s">
        <v>1085</v>
      </c>
      <c r="B366" s="17" t="s">
        <v>976</v>
      </c>
      <c r="C366" s="17" t="s">
        <v>872</v>
      </c>
      <c r="D366" s="17">
        <v>2</v>
      </c>
      <c r="E366" s="17">
        <v>66</v>
      </c>
      <c r="F366" s="17">
        <v>1100</v>
      </c>
      <c r="G366" s="26">
        <f t="shared" si="5"/>
        <v>6000</v>
      </c>
      <c r="H366" s="17"/>
    </row>
    <row r="367" spans="1:8" x14ac:dyDescent="0.35">
      <c r="A367" s="18" t="s">
        <v>1085</v>
      </c>
      <c r="B367" s="18" t="s">
        <v>1086</v>
      </c>
      <c r="C367" s="18" t="s">
        <v>872</v>
      </c>
      <c r="D367" s="18">
        <v>2</v>
      </c>
      <c r="E367" s="18">
        <v>60</v>
      </c>
      <c r="F367" s="18">
        <v>1000</v>
      </c>
      <c r="G367" s="26">
        <f t="shared" si="5"/>
        <v>6000</v>
      </c>
      <c r="H367" s="18"/>
    </row>
    <row r="368" spans="1:8" x14ac:dyDescent="0.35">
      <c r="A368" s="17" t="s">
        <v>1087</v>
      </c>
      <c r="B368" s="17" t="s">
        <v>11</v>
      </c>
      <c r="C368" s="17" t="s">
        <v>872</v>
      </c>
      <c r="D368" s="17">
        <v>2</v>
      </c>
      <c r="E368" s="17">
        <v>100</v>
      </c>
      <c r="F368" s="17">
        <v>1100</v>
      </c>
      <c r="G368" s="26">
        <f t="shared" si="5"/>
        <v>9090.9090909090901</v>
      </c>
      <c r="H368" s="17">
        <v>3.5</v>
      </c>
    </row>
    <row r="369" spans="1:8" x14ac:dyDescent="0.35">
      <c r="A369" s="18" t="s">
        <v>93</v>
      </c>
      <c r="B369" s="18" t="s">
        <v>871</v>
      </c>
      <c r="C369" s="18" t="s">
        <v>872</v>
      </c>
      <c r="D369" s="18">
        <v>2</v>
      </c>
      <c r="E369" s="18">
        <v>70</v>
      </c>
      <c r="F369" s="18">
        <v>1040</v>
      </c>
      <c r="G369" s="26">
        <f t="shared" si="5"/>
        <v>6730.7692307692305</v>
      </c>
      <c r="H369" s="18"/>
    </row>
    <row r="370" spans="1:8" x14ac:dyDescent="0.35">
      <c r="A370" s="17" t="s">
        <v>1088</v>
      </c>
      <c r="B370" s="17" t="s">
        <v>1089</v>
      </c>
      <c r="C370" s="17" t="s">
        <v>872</v>
      </c>
      <c r="D370" s="17">
        <v>3</v>
      </c>
      <c r="E370" s="17">
        <v>61.95</v>
      </c>
      <c r="F370" s="17">
        <v>1400</v>
      </c>
      <c r="G370" s="26">
        <f t="shared" si="5"/>
        <v>4425</v>
      </c>
      <c r="H370" s="17"/>
    </row>
    <row r="371" spans="1:8" x14ac:dyDescent="0.35">
      <c r="A371" s="18" t="s">
        <v>1090</v>
      </c>
      <c r="B371" s="18" t="s">
        <v>975</v>
      </c>
      <c r="C371" s="18" t="s">
        <v>872</v>
      </c>
      <c r="D371" s="18">
        <v>2</v>
      </c>
      <c r="E371" s="18">
        <v>130</v>
      </c>
      <c r="F371" s="18">
        <v>1329</v>
      </c>
      <c r="G371" s="26">
        <f t="shared" si="5"/>
        <v>9781.7908201655373</v>
      </c>
      <c r="H371" s="18">
        <v>3.8</v>
      </c>
    </row>
    <row r="372" spans="1:8" x14ac:dyDescent="0.35">
      <c r="A372" s="17" t="s">
        <v>1091</v>
      </c>
      <c r="B372" s="17" t="s">
        <v>1013</v>
      </c>
      <c r="C372" s="17" t="s">
        <v>872</v>
      </c>
      <c r="D372" s="17">
        <v>1</v>
      </c>
      <c r="E372" s="17">
        <v>75</v>
      </c>
      <c r="F372" s="17">
        <v>1170</v>
      </c>
      <c r="G372" s="26">
        <f t="shared" si="5"/>
        <v>6410.2564102564102</v>
      </c>
      <c r="H372" s="17"/>
    </row>
    <row r="373" spans="1:8" x14ac:dyDescent="0.35">
      <c r="A373" s="18" t="s">
        <v>938</v>
      </c>
      <c r="B373" s="18" t="s">
        <v>1092</v>
      </c>
      <c r="C373" s="18" t="s">
        <v>872</v>
      </c>
      <c r="D373" s="18">
        <v>3</v>
      </c>
      <c r="E373" s="18">
        <v>245</v>
      </c>
      <c r="F373" s="18">
        <v>1950</v>
      </c>
      <c r="G373" s="26">
        <f t="shared" si="5"/>
        <v>12564.102564102564</v>
      </c>
      <c r="H373" s="18"/>
    </row>
    <row r="374" spans="1:8" x14ac:dyDescent="0.35">
      <c r="A374" s="17" t="s">
        <v>938</v>
      </c>
      <c r="B374" s="17" t="s">
        <v>20</v>
      </c>
      <c r="C374" s="17" t="s">
        <v>872</v>
      </c>
      <c r="D374" s="17">
        <v>3</v>
      </c>
      <c r="E374" s="17">
        <v>350</v>
      </c>
      <c r="F374" s="17">
        <v>1725</v>
      </c>
      <c r="G374" s="26">
        <f t="shared" si="5"/>
        <v>20289.855072463768</v>
      </c>
      <c r="H374" s="17"/>
    </row>
    <row r="375" spans="1:8" x14ac:dyDescent="0.35">
      <c r="A375" s="18" t="s">
        <v>938</v>
      </c>
      <c r="B375" s="18" t="s">
        <v>20</v>
      </c>
      <c r="C375" s="18" t="s">
        <v>872</v>
      </c>
      <c r="D375" s="18">
        <v>3</v>
      </c>
      <c r="E375" s="18">
        <v>330</v>
      </c>
      <c r="F375" s="18">
        <v>2200</v>
      </c>
      <c r="G375" s="26">
        <f t="shared" si="5"/>
        <v>15000</v>
      </c>
      <c r="H375" s="18"/>
    </row>
    <row r="376" spans="1:8" x14ac:dyDescent="0.35">
      <c r="A376" s="17" t="s">
        <v>938</v>
      </c>
      <c r="B376" s="17" t="s">
        <v>1053</v>
      </c>
      <c r="C376" s="17" t="s">
        <v>872</v>
      </c>
      <c r="D376" s="17">
        <v>3</v>
      </c>
      <c r="E376" s="17">
        <v>220</v>
      </c>
      <c r="F376" s="17">
        <v>1950</v>
      </c>
      <c r="G376" s="26">
        <f t="shared" si="5"/>
        <v>11282.051282051281</v>
      </c>
      <c r="H376" s="17"/>
    </row>
    <row r="377" spans="1:8" x14ac:dyDescent="0.35">
      <c r="A377" s="18" t="s">
        <v>938</v>
      </c>
      <c r="B377" s="18" t="s">
        <v>1047</v>
      </c>
      <c r="C377" s="18" t="s">
        <v>872</v>
      </c>
      <c r="D377" s="18">
        <v>2</v>
      </c>
      <c r="E377" s="18">
        <v>120</v>
      </c>
      <c r="F377" s="18">
        <v>1100</v>
      </c>
      <c r="G377" s="26">
        <f t="shared" si="5"/>
        <v>10909.09090909091</v>
      </c>
      <c r="H377" s="18"/>
    </row>
    <row r="378" spans="1:8" x14ac:dyDescent="0.35">
      <c r="A378" s="17" t="s">
        <v>900</v>
      </c>
      <c r="B378" s="17" t="s">
        <v>901</v>
      </c>
      <c r="C378" s="17" t="s">
        <v>872</v>
      </c>
      <c r="D378" s="17">
        <v>3</v>
      </c>
      <c r="E378" s="17">
        <v>148</v>
      </c>
      <c r="F378" s="17">
        <v>1431</v>
      </c>
      <c r="G378" s="26">
        <f t="shared" si="5"/>
        <v>10342.417889587701</v>
      </c>
      <c r="H378" s="17">
        <v>4.0999999999999996</v>
      </c>
    </row>
    <row r="379" spans="1:8" x14ac:dyDescent="0.35">
      <c r="A379" s="18" t="s">
        <v>971</v>
      </c>
      <c r="B379" s="18" t="s">
        <v>972</v>
      </c>
      <c r="C379" s="18" t="s">
        <v>872</v>
      </c>
      <c r="D379" s="18">
        <v>2</v>
      </c>
      <c r="E379" s="18">
        <v>125</v>
      </c>
      <c r="F379" s="18">
        <v>1058</v>
      </c>
      <c r="G379" s="26">
        <f t="shared" si="5"/>
        <v>11814.744801512288</v>
      </c>
      <c r="H379" s="18">
        <v>4.0999999999999996</v>
      </c>
    </row>
    <row r="380" spans="1:8" x14ac:dyDescent="0.35">
      <c r="A380" s="17" t="s">
        <v>836</v>
      </c>
      <c r="B380" s="17" t="s">
        <v>1082</v>
      </c>
      <c r="C380" s="17" t="s">
        <v>872</v>
      </c>
      <c r="D380" s="17">
        <v>3</v>
      </c>
      <c r="E380" s="17">
        <v>130</v>
      </c>
      <c r="F380" s="17">
        <v>1600</v>
      </c>
      <c r="G380" s="26">
        <f t="shared" si="5"/>
        <v>8125</v>
      </c>
      <c r="H380" s="17"/>
    </row>
    <row r="381" spans="1:8" x14ac:dyDescent="0.35">
      <c r="A381" s="18" t="s">
        <v>1025</v>
      </c>
      <c r="B381" s="18" t="s">
        <v>910</v>
      </c>
      <c r="C381" s="18" t="s">
        <v>872</v>
      </c>
      <c r="D381" s="18">
        <v>1</v>
      </c>
      <c r="E381" s="18">
        <v>53</v>
      </c>
      <c r="F381" s="18">
        <v>575</v>
      </c>
      <c r="G381" s="26">
        <f t="shared" si="5"/>
        <v>9217.391304347826</v>
      </c>
      <c r="H381" s="18">
        <v>4.0999999999999996</v>
      </c>
    </row>
    <row r="382" spans="1:8" x14ac:dyDescent="0.35">
      <c r="A382" s="17" t="s">
        <v>1093</v>
      </c>
      <c r="B382" s="17" t="s">
        <v>902</v>
      </c>
      <c r="C382" s="17" t="s">
        <v>872</v>
      </c>
      <c r="D382" s="17">
        <v>3</v>
      </c>
      <c r="E382" s="17">
        <v>115</v>
      </c>
      <c r="F382" s="17">
        <v>1118</v>
      </c>
      <c r="G382" s="26">
        <f t="shared" si="5"/>
        <v>10286.225402504473</v>
      </c>
      <c r="H382" s="17">
        <v>3.5</v>
      </c>
    </row>
    <row r="383" spans="1:8" x14ac:dyDescent="0.35">
      <c r="A383" s="18" t="s">
        <v>1094</v>
      </c>
      <c r="B383" s="18" t="s">
        <v>898</v>
      </c>
      <c r="C383" s="18" t="s">
        <v>872</v>
      </c>
      <c r="D383" s="18">
        <v>3</v>
      </c>
      <c r="E383" s="18">
        <v>115</v>
      </c>
      <c r="F383" s="18">
        <v>1500</v>
      </c>
      <c r="G383" s="26">
        <f t="shared" si="5"/>
        <v>7666.666666666667</v>
      </c>
      <c r="H383" s="18">
        <v>3.9</v>
      </c>
    </row>
    <row r="384" spans="1:8" x14ac:dyDescent="0.35">
      <c r="A384" s="17" t="s">
        <v>968</v>
      </c>
      <c r="B384" s="17" t="s">
        <v>969</v>
      </c>
      <c r="C384" s="17" t="s">
        <v>872</v>
      </c>
      <c r="D384" s="17">
        <v>3</v>
      </c>
      <c r="E384" s="17">
        <v>228</v>
      </c>
      <c r="F384" s="17">
        <v>1708</v>
      </c>
      <c r="G384" s="26">
        <f t="shared" si="5"/>
        <v>13348.946135831382</v>
      </c>
      <c r="H384" s="17"/>
    </row>
    <row r="385" spans="1:8" x14ac:dyDescent="0.35">
      <c r="A385" s="18" t="s">
        <v>909</v>
      </c>
      <c r="B385" s="18" t="s">
        <v>910</v>
      </c>
      <c r="C385" s="18" t="s">
        <v>872</v>
      </c>
      <c r="D385" s="18">
        <v>2</v>
      </c>
      <c r="E385" s="18">
        <v>99</v>
      </c>
      <c r="F385" s="18">
        <v>974</v>
      </c>
      <c r="G385" s="26">
        <f t="shared" si="5"/>
        <v>10164.271047227927</v>
      </c>
      <c r="H385" s="18">
        <v>4</v>
      </c>
    </row>
    <row r="386" spans="1:8" x14ac:dyDescent="0.35">
      <c r="A386" s="17" t="s">
        <v>1095</v>
      </c>
      <c r="B386" s="17" t="s">
        <v>1096</v>
      </c>
      <c r="C386" s="17" t="s">
        <v>872</v>
      </c>
      <c r="D386" s="17">
        <v>2</v>
      </c>
      <c r="E386" s="17">
        <v>79</v>
      </c>
      <c r="F386" s="17">
        <v>1185</v>
      </c>
      <c r="G386" s="26">
        <f t="shared" si="5"/>
        <v>6666.666666666667</v>
      </c>
      <c r="H386" s="17"/>
    </row>
    <row r="387" spans="1:8" x14ac:dyDescent="0.35">
      <c r="A387" s="18" t="s">
        <v>1025</v>
      </c>
      <c r="B387" s="18" t="s">
        <v>910</v>
      </c>
      <c r="C387" s="18" t="s">
        <v>872</v>
      </c>
      <c r="D387" s="18">
        <v>3</v>
      </c>
      <c r="E387" s="18">
        <v>96</v>
      </c>
      <c r="F387" s="18">
        <v>1108</v>
      </c>
      <c r="G387" s="26">
        <f t="shared" si="5"/>
        <v>8664.2599277978334</v>
      </c>
      <c r="H387" s="18">
        <v>4.0999999999999996</v>
      </c>
    </row>
    <row r="388" spans="1:8" ht="25" x14ac:dyDescent="0.35">
      <c r="A388" s="17" t="s">
        <v>850</v>
      </c>
      <c r="B388" s="17" t="s">
        <v>1097</v>
      </c>
      <c r="C388" s="17" t="s">
        <v>875</v>
      </c>
      <c r="D388" s="17">
        <v>3</v>
      </c>
      <c r="E388" s="17">
        <v>113</v>
      </c>
      <c r="F388" s="17">
        <v>2100</v>
      </c>
      <c r="G388" s="26">
        <f t="shared" si="5"/>
        <v>5380.9523809523807</v>
      </c>
      <c r="H388" s="17"/>
    </row>
    <row r="389" spans="1:8" ht="25" x14ac:dyDescent="0.35">
      <c r="A389" s="18" t="s">
        <v>195</v>
      </c>
      <c r="B389" s="18" t="s">
        <v>912</v>
      </c>
      <c r="C389" s="18" t="s">
        <v>872</v>
      </c>
      <c r="D389" s="18">
        <v>2</v>
      </c>
      <c r="E389" s="18">
        <v>100</v>
      </c>
      <c r="F389" s="18">
        <v>988</v>
      </c>
      <c r="G389" s="26">
        <f t="shared" ref="G389:G392" si="6" xml:space="preserve"> (E389 * 100000) / F389</f>
        <v>10121.457489878543</v>
      </c>
      <c r="H389" s="18"/>
    </row>
    <row r="390" spans="1:8" x14ac:dyDescent="0.35">
      <c r="A390" s="17" t="s">
        <v>855</v>
      </c>
      <c r="B390" s="17" t="s">
        <v>1098</v>
      </c>
      <c r="C390" s="17" t="s">
        <v>872</v>
      </c>
      <c r="D390" s="17">
        <v>3</v>
      </c>
      <c r="E390" s="17">
        <v>255</v>
      </c>
      <c r="F390" s="17">
        <v>1813</v>
      </c>
      <c r="G390" s="26">
        <f t="shared" si="6"/>
        <v>14065.085493656923</v>
      </c>
      <c r="H390" s="17"/>
    </row>
    <row r="391" spans="1:8" x14ac:dyDescent="0.35">
      <c r="A391" s="18" t="s">
        <v>858</v>
      </c>
      <c r="B391" s="18" t="s">
        <v>1099</v>
      </c>
      <c r="C391" s="18" t="s">
        <v>872</v>
      </c>
      <c r="D391" s="18">
        <v>3</v>
      </c>
      <c r="E391" s="18">
        <v>95</v>
      </c>
      <c r="F391" s="18">
        <v>1320</v>
      </c>
      <c r="G391" s="26">
        <f t="shared" si="6"/>
        <v>7196.969696969697</v>
      </c>
      <c r="H391" s="18"/>
    </row>
    <row r="392" spans="1:8" x14ac:dyDescent="0.35">
      <c r="A392" s="17" t="s">
        <v>216</v>
      </c>
      <c r="B392" s="17" t="s">
        <v>920</v>
      </c>
      <c r="C392" s="17" t="s">
        <v>872</v>
      </c>
      <c r="D392" s="17">
        <v>5</v>
      </c>
      <c r="E392" s="17">
        <v>280</v>
      </c>
      <c r="F392" s="17">
        <v>2800</v>
      </c>
      <c r="G392" s="26">
        <f t="shared" si="6"/>
        <v>10000</v>
      </c>
      <c r="H392" s="17"/>
    </row>
  </sheetData>
  <mergeCells count="1">
    <mergeCell ref="A1:H2"/>
  </mergeCells>
  <conditionalFormatting sqref="G4:G39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3ACEE-779B-4868-BB27-163D1CD6524B}">
  <dimension ref="A1:F47"/>
  <sheetViews>
    <sheetView showGridLines="0" tabSelected="1" workbookViewId="0">
      <selection activeCell="I10" sqref="I10"/>
    </sheetView>
  </sheetViews>
  <sheetFormatPr defaultRowHeight="14.5" x14ac:dyDescent="0.35"/>
  <sheetData>
    <row r="1" spans="1:6" x14ac:dyDescent="0.35">
      <c r="A1" s="42" t="s">
        <v>1151</v>
      </c>
      <c r="B1" s="42"/>
      <c r="C1" s="42"/>
      <c r="D1" s="42"/>
      <c r="E1" s="42"/>
      <c r="F1" s="42"/>
    </row>
    <row r="2" spans="1:6" x14ac:dyDescent="0.35">
      <c r="A2" s="43"/>
      <c r="B2" s="42"/>
      <c r="C2" s="42"/>
      <c r="D2" s="42"/>
      <c r="E2" s="42"/>
      <c r="F2" s="42"/>
    </row>
    <row r="3" spans="1:6" x14ac:dyDescent="0.35">
      <c r="A3" s="43" t="s">
        <v>1152</v>
      </c>
      <c r="B3" s="42"/>
      <c r="C3" s="42"/>
      <c r="D3" s="42"/>
      <c r="E3" s="42"/>
      <c r="F3" s="42"/>
    </row>
    <row r="4" spans="1:6" x14ac:dyDescent="0.35">
      <c r="A4" s="43"/>
      <c r="B4" s="42"/>
      <c r="C4" s="42"/>
      <c r="D4" s="42"/>
      <c r="E4" s="42"/>
      <c r="F4" s="42"/>
    </row>
    <row r="5" spans="1:6" x14ac:dyDescent="0.35">
      <c r="A5" s="43" t="s">
        <v>1153</v>
      </c>
      <c r="B5" s="42"/>
      <c r="C5" s="42"/>
      <c r="D5" s="42"/>
      <c r="E5" s="42"/>
      <c r="F5" s="42"/>
    </row>
    <row r="6" spans="1:6" x14ac:dyDescent="0.35">
      <c r="A6" s="43"/>
      <c r="B6" s="42"/>
      <c r="C6" s="42"/>
      <c r="D6" s="42"/>
      <c r="E6" s="42"/>
      <c r="F6" s="42"/>
    </row>
    <row r="7" spans="1:6" x14ac:dyDescent="0.35">
      <c r="A7" s="43" t="s">
        <v>1154</v>
      </c>
      <c r="B7" s="42"/>
      <c r="C7" s="42"/>
      <c r="D7" s="42"/>
      <c r="E7" s="42"/>
      <c r="F7" s="42"/>
    </row>
    <row r="8" spans="1:6" x14ac:dyDescent="0.35">
      <c r="A8" s="43"/>
      <c r="B8" s="42"/>
      <c r="C8" s="42"/>
      <c r="D8" s="42"/>
      <c r="E8" s="42"/>
      <c r="F8" s="42"/>
    </row>
    <row r="9" spans="1:6" x14ac:dyDescent="0.35">
      <c r="A9" s="43" t="s">
        <v>1155</v>
      </c>
      <c r="B9" s="42"/>
      <c r="C9" s="42"/>
      <c r="D9" s="42"/>
      <c r="E9" s="42"/>
      <c r="F9" s="42"/>
    </row>
    <row r="10" spans="1:6" x14ac:dyDescent="0.35">
      <c r="A10" s="43"/>
      <c r="B10" s="42"/>
      <c r="C10" s="42"/>
      <c r="D10" s="42"/>
      <c r="E10" s="42"/>
      <c r="F10" s="42"/>
    </row>
    <row r="11" spans="1:6" x14ac:dyDescent="0.35">
      <c r="A11" s="43" t="s">
        <v>1156</v>
      </c>
      <c r="B11" s="42"/>
      <c r="C11" s="42"/>
      <c r="D11" s="42"/>
      <c r="E11" s="42"/>
      <c r="F11" s="42"/>
    </row>
    <row r="12" spans="1:6" x14ac:dyDescent="0.35">
      <c r="A12" s="43"/>
      <c r="B12" s="42"/>
      <c r="C12" s="42"/>
      <c r="D12" s="42"/>
      <c r="E12" s="42"/>
      <c r="F12" s="42"/>
    </row>
    <row r="13" spans="1:6" x14ac:dyDescent="0.35">
      <c r="A13" s="43" t="s">
        <v>1157</v>
      </c>
      <c r="B13" s="42"/>
      <c r="C13" s="42"/>
      <c r="D13" s="42"/>
      <c r="E13" s="42"/>
      <c r="F13" s="42"/>
    </row>
    <row r="14" spans="1:6" x14ac:dyDescent="0.35">
      <c r="A14" s="43"/>
      <c r="B14" s="42"/>
      <c r="C14" s="42"/>
      <c r="D14" s="42"/>
      <c r="E14" s="42"/>
      <c r="F14" s="42"/>
    </row>
    <row r="15" spans="1:6" x14ac:dyDescent="0.35">
      <c r="A15" s="43" t="s">
        <v>1158</v>
      </c>
      <c r="B15" s="42"/>
      <c r="C15" s="42"/>
      <c r="D15" s="42"/>
      <c r="E15" s="42"/>
      <c r="F15" s="42"/>
    </row>
    <row r="16" spans="1:6" x14ac:dyDescent="0.35">
      <c r="A16" s="43"/>
      <c r="B16" s="42"/>
      <c r="C16" s="42"/>
      <c r="D16" s="42"/>
      <c r="E16" s="42"/>
      <c r="F16" s="42"/>
    </row>
    <row r="17" spans="1:6" x14ac:dyDescent="0.35">
      <c r="A17" s="43" t="s">
        <v>1159</v>
      </c>
      <c r="B17" s="42"/>
      <c r="C17" s="42"/>
      <c r="D17" s="42"/>
      <c r="E17" s="42"/>
      <c r="F17" s="42"/>
    </row>
    <row r="18" spans="1:6" x14ac:dyDescent="0.35">
      <c r="A18" s="43"/>
      <c r="B18" s="42"/>
      <c r="C18" s="42"/>
      <c r="D18" s="42"/>
      <c r="E18" s="42"/>
      <c r="F18" s="42"/>
    </row>
    <row r="19" spans="1:6" x14ac:dyDescent="0.35">
      <c r="A19" s="43" t="s">
        <v>1160</v>
      </c>
      <c r="B19" s="42"/>
      <c r="C19" s="42"/>
      <c r="D19" s="42"/>
      <c r="E19" s="42"/>
      <c r="F19" s="42"/>
    </row>
    <row r="20" spans="1:6" x14ac:dyDescent="0.35">
      <c r="A20" s="43" t="s">
        <v>1161</v>
      </c>
      <c r="B20" s="42"/>
      <c r="C20" s="42"/>
      <c r="D20" s="42"/>
      <c r="E20" s="42"/>
      <c r="F20" s="42"/>
    </row>
    <row r="21" spans="1:6" x14ac:dyDescent="0.35">
      <c r="A21" s="43"/>
      <c r="B21" s="42"/>
      <c r="C21" s="42"/>
      <c r="D21" s="42"/>
      <c r="E21" s="42"/>
      <c r="F21" s="42"/>
    </row>
    <row r="22" spans="1:6" x14ac:dyDescent="0.35">
      <c r="A22" s="43" t="s">
        <v>1162</v>
      </c>
      <c r="B22" s="42"/>
      <c r="C22" s="42"/>
      <c r="D22" s="42"/>
      <c r="E22" s="42"/>
      <c r="F22" s="42"/>
    </row>
    <row r="23" spans="1:6" x14ac:dyDescent="0.35">
      <c r="A23" s="43"/>
      <c r="B23" s="42"/>
      <c r="C23" s="42"/>
      <c r="D23" s="42"/>
      <c r="E23" s="42"/>
      <c r="F23" s="42"/>
    </row>
    <row r="24" spans="1:6" x14ac:dyDescent="0.35">
      <c r="A24" s="43" t="s">
        <v>1163</v>
      </c>
      <c r="B24" s="42"/>
      <c r="C24" s="42"/>
      <c r="D24" s="42"/>
      <c r="E24" s="42"/>
      <c r="F24" s="42"/>
    </row>
    <row r="25" spans="1:6" x14ac:dyDescent="0.35">
      <c r="A25" s="43"/>
      <c r="B25" s="42"/>
      <c r="C25" s="42"/>
      <c r="D25" s="42"/>
      <c r="E25" s="42"/>
      <c r="F25" s="42"/>
    </row>
    <row r="26" spans="1:6" x14ac:dyDescent="0.35">
      <c r="A26" s="43" t="s">
        <v>1164</v>
      </c>
      <c r="B26" s="42"/>
      <c r="C26" s="42"/>
      <c r="D26" s="42"/>
      <c r="E26" s="42"/>
      <c r="F26" s="42"/>
    </row>
    <row r="27" spans="1:6" x14ac:dyDescent="0.35">
      <c r="A27" s="43"/>
      <c r="B27" s="42"/>
      <c r="C27" s="42"/>
      <c r="D27" s="42"/>
      <c r="E27" s="42"/>
      <c r="F27" s="42"/>
    </row>
    <row r="28" spans="1:6" x14ac:dyDescent="0.35">
      <c r="A28" s="43" t="s">
        <v>1165</v>
      </c>
      <c r="B28" s="42"/>
      <c r="C28" s="42"/>
      <c r="D28" s="42"/>
      <c r="E28" s="42"/>
      <c r="F28" s="42"/>
    </row>
    <row r="29" spans="1:6" x14ac:dyDescent="0.35">
      <c r="A29" s="43"/>
      <c r="B29" s="42"/>
      <c r="C29" s="42"/>
      <c r="D29" s="42"/>
      <c r="E29" s="42"/>
      <c r="F29" s="42"/>
    </row>
    <row r="30" spans="1:6" x14ac:dyDescent="0.35">
      <c r="A30" s="43" t="s">
        <v>1166</v>
      </c>
      <c r="B30" s="42"/>
      <c r="C30" s="42"/>
      <c r="D30" s="42"/>
      <c r="E30" s="42"/>
      <c r="F30" s="42"/>
    </row>
    <row r="31" spans="1:6" x14ac:dyDescent="0.35">
      <c r="A31" s="43"/>
      <c r="B31" s="42"/>
      <c r="C31" s="42"/>
      <c r="D31" s="42"/>
      <c r="E31" s="42"/>
      <c r="F31" s="42"/>
    </row>
    <row r="32" spans="1:6" x14ac:dyDescent="0.35">
      <c r="A32" s="43" t="s">
        <v>1167</v>
      </c>
      <c r="B32" s="42"/>
      <c r="C32" s="42"/>
      <c r="D32" s="42"/>
      <c r="E32" s="42"/>
      <c r="F32" s="42"/>
    </row>
    <row r="33" spans="1:6" x14ac:dyDescent="0.35">
      <c r="A33" s="43"/>
      <c r="B33" s="42"/>
      <c r="C33" s="42"/>
      <c r="D33" s="42"/>
      <c r="E33" s="42"/>
      <c r="F33" s="42"/>
    </row>
    <row r="34" spans="1:6" x14ac:dyDescent="0.35">
      <c r="A34" s="43" t="s">
        <v>1168</v>
      </c>
      <c r="B34" s="42"/>
      <c r="C34" s="42"/>
      <c r="D34" s="42"/>
      <c r="E34" s="42"/>
      <c r="F34" s="42"/>
    </row>
    <row r="35" spans="1:6" x14ac:dyDescent="0.35">
      <c r="A35" s="43"/>
      <c r="B35" s="42"/>
      <c r="C35" s="42"/>
      <c r="D35" s="42"/>
      <c r="E35" s="42"/>
      <c r="F35" s="42"/>
    </row>
    <row r="36" spans="1:6" x14ac:dyDescent="0.35">
      <c r="A36" s="43" t="s">
        <v>1169</v>
      </c>
      <c r="B36" s="42"/>
      <c r="C36" s="42"/>
      <c r="D36" s="42"/>
      <c r="E36" s="42"/>
      <c r="F36" s="42"/>
    </row>
    <row r="37" spans="1:6" x14ac:dyDescent="0.35">
      <c r="A37" s="43"/>
      <c r="B37" s="42"/>
      <c r="C37" s="42"/>
      <c r="D37" s="42"/>
      <c r="E37" s="42"/>
      <c r="F37" s="42"/>
    </row>
    <row r="38" spans="1:6" x14ac:dyDescent="0.35">
      <c r="A38" s="43" t="s">
        <v>1170</v>
      </c>
      <c r="B38" s="42"/>
      <c r="C38" s="42"/>
      <c r="D38" s="42"/>
      <c r="E38" s="42"/>
      <c r="F38" s="42"/>
    </row>
    <row r="39" spans="1:6" x14ac:dyDescent="0.35">
      <c r="A39" s="43"/>
      <c r="B39" s="42"/>
      <c r="C39" s="42"/>
      <c r="D39" s="42"/>
      <c r="E39" s="42"/>
      <c r="F39" s="42"/>
    </row>
    <row r="40" spans="1:6" x14ac:dyDescent="0.35">
      <c r="A40" s="43" t="s">
        <v>1171</v>
      </c>
      <c r="B40" s="42"/>
      <c r="C40" s="42"/>
      <c r="D40" s="42"/>
      <c r="E40" s="42"/>
      <c r="F40" s="42"/>
    </row>
    <row r="41" spans="1:6" x14ac:dyDescent="0.35">
      <c r="A41" s="43"/>
      <c r="B41" s="42"/>
      <c r="C41" s="42"/>
      <c r="D41" s="42"/>
      <c r="E41" s="42"/>
      <c r="F41" s="42"/>
    </row>
    <row r="42" spans="1:6" x14ac:dyDescent="0.35">
      <c r="A42" s="43" t="s">
        <v>1172</v>
      </c>
      <c r="B42" s="42"/>
      <c r="C42" s="42"/>
      <c r="D42" s="42"/>
      <c r="E42" s="42"/>
      <c r="F42" s="42"/>
    </row>
    <row r="43" spans="1:6" x14ac:dyDescent="0.35">
      <c r="A43" s="43"/>
      <c r="B43" s="42"/>
      <c r="C43" s="42"/>
      <c r="D43" s="42"/>
      <c r="E43" s="42"/>
      <c r="F43" s="42"/>
    </row>
    <row r="44" spans="1:6" x14ac:dyDescent="0.35">
      <c r="A44" s="43" t="s">
        <v>1173</v>
      </c>
      <c r="B44" s="42"/>
      <c r="C44" s="42"/>
      <c r="D44" s="42"/>
      <c r="E44" s="42"/>
      <c r="F44" s="42"/>
    </row>
    <row r="45" spans="1:6" x14ac:dyDescent="0.35">
      <c r="A45" s="43"/>
      <c r="B45" s="42"/>
      <c r="C45" s="42"/>
      <c r="D45" s="42"/>
      <c r="E45" s="42"/>
      <c r="F45" s="42"/>
    </row>
    <row r="46" spans="1:6" x14ac:dyDescent="0.35">
      <c r="A46" s="43" t="s">
        <v>1174</v>
      </c>
      <c r="B46" s="42"/>
      <c r="C46" s="42"/>
      <c r="D46" s="42"/>
      <c r="E46" s="42"/>
      <c r="F46" s="42"/>
    </row>
    <row r="47" spans="1:6" x14ac:dyDescent="0.35">
      <c r="A47" s="42"/>
      <c r="B47" s="42"/>
      <c r="C47" s="42"/>
      <c r="D47" s="42"/>
      <c r="E47" s="42"/>
      <c r="F47" s="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📊 Dashboard</vt:lpstr>
      <vt:lpstr>🔍 Buyer Comparison Tool</vt:lpstr>
      <vt:lpstr>🏠 BHK Analysis</vt:lpstr>
      <vt:lpstr>📍 Locality Analysis</vt:lpstr>
      <vt:lpstr>🔧 Cleaning Log</vt:lpstr>
      <vt:lpstr>📋 Raw Data</vt:lpstr>
      <vt:lpstr>✅ Cleaned Data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Robina Shakwa</cp:lastModifiedBy>
  <cp:revision>1</cp:revision>
  <dcterms:created xsi:type="dcterms:W3CDTF">2026-03-24T13:26:18Z</dcterms:created>
  <dcterms:modified xsi:type="dcterms:W3CDTF">2026-03-24T17:44:11Z</dcterms:modified>
  <dc:language>en-US</dc:language>
</cp:coreProperties>
</file>